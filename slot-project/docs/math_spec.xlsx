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Base Parameters" sheetId="3" state="visible" r:id="rId5"/>
    <sheet name="Symbols" sheetId="4" state="visible" r:id="rId6"/>
    <sheet name="Paytable" sheetId="5" state="visible" r:id="rId7"/>
    <sheet name="Reel Strips" sheetId="6" state="visible" r:id="rId8"/>
    <sheet name="Paylines" sheetId="7" state="visible" r:id="rId9"/>
    <sheet name="Symbol Counts" sheetId="8" state="visible" r:id="rId10"/>
    <sheet name="Line Calc" sheetId="9" state="visible" r:id="rId11"/>
    <sheet name="Scatter Calc" sheetId="10" state="visible" r:id="rId12"/>
    <sheet name="Free Spin Calc" sheetId="11" state="visible" r:id="rId13"/>
    <sheet name="RTP Breakdown" sheetId="12" state="visible" r:id="rId14"/>
    <sheet name="Simulation Results" sheetId="13" state="visible" r:id="rId15"/>
    <sheet name="Verific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Theory and the actual evaluator's exhaustive enumeration must match to machine precision.</t>
        </r>
      </text>
    </comment>
  </commentList>
</comments>
</file>

<file path=xl/sharedStrings.xml><?xml version="1.0" encoding="utf-8"?>
<sst xmlns="http://schemas.openxmlformats.org/spreadsheetml/2006/main" count="617" uniqueCount="297">
  <si>
    <t xml:space="preserve">Neon Fortune  MATH Spec</t>
  </si>
  <si>
    <t xml:space="preserve">Game ID</t>
  </si>
  <si>
    <t xml:space="preserve">neon_fortune</t>
  </si>
  <si>
    <t xml:space="preserve">Game name</t>
  </si>
  <si>
    <t xml:space="preserve">Neon Fortune</t>
  </si>
  <si>
    <t xml:space="preserve">Math version</t>
  </si>
  <si>
    <t xml:space="preserve">1.0.0</t>
  </si>
  <si>
    <t xml:space="preserve">Created</t>
  </si>
  <si>
    <t xml:space="preserve">2026-09-23</t>
  </si>
  <si>
    <t xml:space="preserve">Author</t>
  </si>
  <si>
    <t xml:space="preserve">TakuroidX (AI Director) / Claude Code</t>
  </si>
  <si>
    <t xml:space="preserve">Purpose</t>
  </si>
  <si>
    <t xml:space="preserve">Hobby / learning project. Not intended for real-money gambling.</t>
  </si>
  <si>
    <t xml:space="preserve">Sheets</t>
  </si>
  <si>
    <t xml:space="preserve">Sheet</t>
  </si>
  <si>
    <t xml:space="preserve">Contents</t>
  </si>
  <si>
    <t xml:space="preserve">Summary</t>
  </si>
  <si>
    <t xml:space="preserve">Key figures (RTP, hit frequency, FS frequency, volatility)</t>
  </si>
  <si>
    <t xml:space="preserve">Base Parameters</t>
  </si>
  <si>
    <t xml:space="preserve">Grid, lines, bet, free spin settings (input)</t>
  </si>
  <si>
    <t xml:space="preserve">Symbols</t>
  </si>
  <si>
    <t xml:space="preserve">Symbol list and rules</t>
  </si>
  <si>
    <t xml:space="preserve">Paytable</t>
  </si>
  <si>
    <t xml:space="preserve">Pays (input)</t>
  </si>
  <si>
    <t xml:space="preserve">Reel Strips</t>
  </si>
  <si>
    <t xml:space="preserve">Reel strip for each reel (input)</t>
  </si>
  <si>
    <t xml:space="preserve">Paylines</t>
  </si>
  <si>
    <t xml:space="preserve">Row pattern of the 20 lines (input)</t>
  </si>
  <si>
    <t xml:space="preserve">Symbol Counts</t>
  </si>
  <si>
    <t xml:space="preserve">Count of each symbol per reel (COUNTIF)</t>
  </si>
  <si>
    <t xml:space="preserve">Line Calc</t>
  </si>
  <si>
    <t xml:space="preserve">Exact line-pay probabilities and RTP</t>
  </si>
  <si>
    <t xml:space="preserve">Scatter Calc</t>
  </si>
  <si>
    <t xml:space="preserve">SCATTER count distribution (32-pattern enumeration) and FS trigger probability</t>
  </si>
  <si>
    <t xml:space="preserve">Free Spin Calc</t>
  </si>
  <si>
    <t xml:space="preserve">Expected FS spins with retriggers, and FS RTP</t>
  </si>
  <si>
    <t xml:space="preserve">RTP Breakdown</t>
  </si>
  <si>
    <t xml:space="preserve">RTP breakdown by component</t>
  </si>
  <si>
    <t xml:space="preserve">Simulation Results</t>
  </si>
  <si>
    <t xml:space="preserve">Full-cycle enumeration and Monte Carlo results from the SDK (slotsim)</t>
  </si>
  <si>
    <t xml:space="preserve">Verification</t>
  </si>
  <si>
    <t xml:space="preserve">Excel formulas vs SDK cross-check</t>
  </si>
  <si>
    <t xml:space="preserve">Legend</t>
  </si>
  <si>
    <t xml:space="preserve">Blue text + yellow fill</t>
  </si>
  <si>
    <t xml:space="preserve">Input values (design parameters). Edit these cells</t>
  </si>
  <si>
    <t xml:space="preserve">Black text</t>
  </si>
  <si>
    <t xml:space="preserve">Formulas within the sheet</t>
  </si>
  <si>
    <t xml:space="preserve">Green text</t>
  </si>
  <si>
    <t xml:space="preserve">Formulas referencing another sheet</t>
  </si>
  <si>
    <t xml:space="preserve">Gray italics</t>
  </si>
  <si>
    <t xml:space="preserve">Values pasted from SDK output (source noted)</t>
  </si>
  <si>
    <t xml:space="preserve">Revision History</t>
  </si>
  <si>
    <t xml:space="preserve">Version</t>
  </si>
  <si>
    <t xml:space="preserve">Changes</t>
  </si>
  <si>
    <t xml:space="preserve">Date</t>
  </si>
  <si>
    <t xml:space="preserve">Initial version (5x3 / 20 lines / FS x3)</t>
  </si>
  <si>
    <t xml:space="preserve">TakuroidX</t>
  </si>
  <si>
    <t xml:space="preserve">Theoretical values are formulas linked to the calculation sheets. Measured values come from the Simulation Results sheet.</t>
  </si>
  <si>
    <t xml:space="preserve">Item</t>
  </si>
  <si>
    <t xml:space="preserve">Theory (Excel)</t>
  </si>
  <si>
    <t xml:space="preserve">Measured (SDK)</t>
  </si>
  <si>
    <t xml:space="preserve">Notes</t>
  </si>
  <si>
    <t xml:space="preserve">Total RTP</t>
  </si>
  <si>
    <t xml:space="preserve">Target: see Base Parameters</t>
  </si>
  <si>
    <t xml:space="preserve">  Line pays</t>
  </si>
  <si>
    <t xml:space="preserve">  Scatter pays</t>
  </si>
  <si>
    <t xml:space="preserve">  Free spins</t>
  </si>
  <si>
    <t xml:space="preserve">FS trigger frequency (1 in N)</t>
  </si>
  <si>
    <t xml:space="preserve">Probability of 3+ SCATTERs</t>
  </si>
  <si>
    <t xml:space="preserve">Expected FS spins (incl. retriggers)</t>
  </si>
  <si>
    <t xml:space="preserve">Hit frequency (base game)</t>
  </si>
  <si>
    <t xml:space="preserve">Probability of any win in a spin</t>
  </si>
  <si>
    <t xml:space="preserve">Volatility (per-round SD)</t>
  </si>
  <si>
    <t xml:space="preserve">Standard deviation of the win multiple per round</t>
  </si>
  <si>
    <t xml:space="preserve">Max base game win (x total bet)</t>
  </si>
  <si>
    <t xml:space="preserve">Exact value from full-cycle enumeration</t>
  </si>
  <si>
    <t xml:space="preserve">Max round win observed (x total bet)</t>
  </si>
  <si>
    <t xml:space="preserve">Monte Carlo observation (not a theoretical max)</t>
  </si>
  <si>
    <t xml:space="preserve">Game specification</t>
  </si>
  <si>
    <t xml:space="preserve">Layout</t>
  </si>
  <si>
    <t xml:space="preserve">5 reels x 3 rows, 20 fixed lines, left-to-right pays</t>
  </si>
  <si>
    <t xml:space="preserve">Bet</t>
  </si>
  <si>
    <t xml:space="preserve">line bet [1, 2, 5, 10] credits x 20 lines</t>
  </si>
  <si>
    <t xml:space="preserve">WILD</t>
  </si>
  <si>
    <t xml:space="preserve">Substitutes for every symbol except SCATTER. Reels 2–4 only. No pay of its own.</t>
  </si>
  <si>
    <t xml:space="preserve">SCATTER</t>
  </si>
  <si>
    <t xml:space="preserve">3/4/5 anywhere = 2/10/50 x total bet</t>
  </si>
  <si>
    <t xml:space="preserve">Free spins</t>
  </si>
  <si>
    <t xml:space="preserve">3+ SCATTER → 10 spins, all wins x3, 3+ during FS adds 10 spins (unlimited)</t>
  </si>
  <si>
    <t xml:space="preserve">Max win cap</t>
  </si>
  <si>
    <t xml:space="preserve">None (base game max is shown above)</t>
  </si>
  <si>
    <t xml:space="preserve">Blue cells are inputs. Every calculation sheet references these cells.</t>
  </si>
  <si>
    <t xml:space="preserve">Value</t>
  </si>
  <si>
    <t xml:space="preserve">Reels</t>
  </si>
  <si>
    <t xml:space="preserve">Changing this requires rebuilding the calc sheets</t>
  </si>
  <si>
    <t xml:space="preserve">Rows</t>
  </si>
  <si>
    <t xml:space="preserve">Visible symbols per reel</t>
  </si>
  <si>
    <t xml:space="preserve">Lines</t>
  </si>
  <si>
    <t xml:space="preserve">Fixed lines. Must match the Paylines sheet</t>
  </si>
  <si>
    <t xml:space="preserve">Line bet levels</t>
  </si>
  <si>
    <t xml:space="preserve">Credits per line (4 levels)</t>
  </si>
  <si>
    <t xml:space="preserve">Default level (0-based)</t>
  </si>
  <si>
    <t xml:space="preserve">FS spins awarded</t>
  </si>
  <si>
    <t xml:space="preserve">On a base game trigger</t>
  </si>
  <si>
    <t xml:space="preserve">FS retrigger spins</t>
  </si>
  <si>
    <t xml:space="preserve">On 3+ during FS</t>
  </si>
  <si>
    <t xml:space="preserve">FS multiplier</t>
  </si>
  <si>
    <t xml:space="preserve">Applies to every FS win</t>
  </si>
  <si>
    <t xml:space="preserve">FS trigger SCATTER count</t>
  </si>
  <si>
    <t xml:space="preserve">Target RTP</t>
  </si>
  <si>
    <t xml:space="preserve">Design target</t>
  </si>
  <si>
    <t xml:space="preserve">WILD symbol ID</t>
  </si>
  <si>
    <t xml:space="preserve">SCATTER symbol ID</t>
  </si>
  <si>
    <t xml:space="preserve">ID</t>
  </si>
  <si>
    <t xml:space="preserve">Name</t>
  </si>
  <si>
    <t xml:space="preserve">Type</t>
  </si>
  <si>
    <t xml:space="preserve">Wild</t>
  </si>
  <si>
    <t xml:space="preserve">wild</t>
  </si>
  <si>
    <t xml:space="preserve">2, 3, 4</t>
  </si>
  <si>
    <t xml:space="preserve">Star</t>
  </si>
  <si>
    <t xml:space="preserve">scatter</t>
  </si>
  <si>
    <t xml:space="preserve">1, 2, 3, 4, 5</t>
  </si>
  <si>
    <t xml:space="preserve">3+ anywhere pays x total bet + awards free spins.</t>
  </si>
  <si>
    <t xml:space="preserve">SEVEN</t>
  </si>
  <si>
    <t xml:space="preserve">Seven</t>
  </si>
  <si>
    <t xml:space="preserve">normal</t>
  </si>
  <si>
    <t xml:space="preserve">Normal symbol (left-to-right pays)</t>
  </si>
  <si>
    <t xml:space="preserve">DIAMOND</t>
  </si>
  <si>
    <t xml:space="preserve">Diamond</t>
  </si>
  <si>
    <t xml:space="preserve">BELL</t>
  </si>
  <si>
    <t xml:space="preserve">Bell</t>
  </si>
  <si>
    <t xml:space="preserve">CHERRY</t>
  </si>
  <si>
    <t xml:space="preserve">Cherry</t>
  </si>
  <si>
    <t xml:space="preserve">A</t>
  </si>
  <si>
    <t xml:space="preserve">K</t>
  </si>
  <si>
    <t xml:space="preserve">Q</t>
  </si>
  <si>
    <t xml:space="preserve">J</t>
  </si>
  <si>
    <t xml:space="preserve">Normal symbols: x line bet (left-to-right matches from reel 1). SCATTER: x total bet (anywhere).</t>
  </si>
  <si>
    <t xml:space="preserve">Symbol</t>
  </si>
  <si>
    <t xml:space="preserve">1 of a kind</t>
  </si>
  <si>
    <t xml:space="preserve">2 of a kind</t>
  </si>
  <si>
    <t xml:space="preserve">3 of a kind</t>
  </si>
  <si>
    <t xml:space="preserve">4 of a kind</t>
  </si>
  <si>
    <t xml:space="preserve">5 of a kind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</si>
  <si>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</si>
  <si>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</si>
  <si>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</si>
  <si>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</si>
  <si>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</si>
  <si>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x total bet</t>
  </si>
  <si>
    <t xml:space="preserve">x total bet; triggers free spins</t>
  </si>
  <si>
    <t xml:space="preserve">Wins on the same line pay only the highest. Line pays and scatter pays are added together.</t>
  </si>
  <si>
    <t xml:space="preserve">Stops 0 to (length-1). Row r shows strip[(stop+r) mod length]. Up to 100 rows can be entered.</t>
  </si>
  <si>
    <t xml:space="preserve">Length</t>
  </si>
  <si>
    <t xml:space="preserve">Stop</t>
  </si>
  <si>
    <t xml:space="preserve">Reel 1</t>
  </si>
  <si>
    <t xml:space="preserve">Reel 2</t>
  </si>
  <si>
    <t xml:space="preserve">Reel 3</t>
  </si>
  <si>
    <t xml:space="preserve">Reel 4</t>
  </si>
  <si>
    <t xml:space="preserve">Reel 5</t>
  </si>
  <si>
    <t xml:space="preserve">Design rules (checked by the SDK's MathModel.Validate):</t>
  </si>
  <si>
    <t xml:space="preserve">- Don't put WILD on reel 1 (premise of the exact calculation)</t>
  </si>
  <si>
    <t xml:space="preserve">- Keep SCATTERs on the same reel at least 3 apart (at most 1 visible per reel)</t>
  </si>
  <si>
    <t xml:space="preserve">- The same symbol is never adjacent (a design choice in design_reels.py)</t>
  </si>
  <si>
    <t xml:space="preserve">Row numbers: 0 = top, 1 = middle, 2 = bottom. Shape is a formula (▔ = top, ─ = middle, ▁ = bottom).</t>
  </si>
  <si>
    <t xml:space="preserve">Line</t>
  </si>
  <si>
    <t xml:space="preserve">Shape</t>
  </si>
  <si>
    <t xml:space="preserve">Symbol Counts per Reel</t>
  </si>
  <si>
    <t xml:space="preserve">Aggregated from the Reel Strips sheet with COUNTIF.</t>
  </si>
  <si>
    <t xml:space="preserve">Total</t>
  </si>
  <si>
    <t xml:space="preserve">Check</t>
  </si>
  <si>
    <t xml:space="preserve">'OK' when every entry in the reel strip matches a symbol ID in the Symbols sheet.</t>
  </si>
  <si>
    <t xml:space="preserve">Line Calc (exact)</t>
  </si>
  <si>
    <t xml:space="preserve">Reel 1 has no WILD, so each line's paying symbol = reel 1's symbol. P(k+ in a row) = n1/L1 × Π(ni+Wi)/Li. Reels are independent and stops are equally likely, so every line has the same distribution → line RTP = per-line expectation (x line bet) = total-bet ratio.</t>
  </si>
  <si>
    <t xml:space="preserve">WILD count</t>
  </si>
  <si>
    <t xml:space="preserve">Effective count (reel 1 = symbol / reels 2+ = symbol + WILD)</t>
  </si>
  <si>
    <t xml:space="preserve">P(k+ in a row from the left)</t>
  </si>
  <si>
    <t xml:space="preserve">P(exactly k in a row)</t>
  </si>
  <si>
    <t xml:space="preserve">Pay (x line bet)</t>
  </si>
  <si>
    <t xml:space="preserve">Contribution = probability × pay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</si>
  <si>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</si>
  <si>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</si>
  <si>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</si>
  <si>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</si>
  <si>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</si>
  <si>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≥1</t>
  </si>
  <si>
    <t xml:space="preserve">≥2</t>
  </si>
  <si>
    <t xml:space="preserve">≥3</t>
  </si>
  <si>
    <t xml:space="preserve">≥4</t>
  </si>
  <si>
    <t xml:space="preserve">≥5</t>
  </si>
  <si>
    <t xml:space="preserve">1 kind</t>
  </si>
  <si>
    <t xml:space="preserve">2 kind</t>
  </si>
  <si>
    <t xml:space="preserve">3 kind</t>
  </si>
  <si>
    <t xml:space="preserve">4 kind</t>
  </si>
  <si>
    <t xml:space="preserve">5 kind</t>
  </si>
  <si>
    <t xml:space="preserve">Symbol total</t>
  </si>
  <si>
    <t xml:space="preserve">Hit rate / line</t>
  </si>
  <si>
    <t xml:space="preserve">Line RTP (total-bet ratio)</t>
  </si>
  <si>
    <t xml:space="preserve">Expected pay per line (x line bet) × number of lines ÷ total bet (line bet × number of lines) = expected pay per line</t>
  </si>
  <si>
    <t xml:space="preserve">Scatter Calc (exact)</t>
  </si>
  <si>
    <t xml:space="preserve">SCATTERs are at least 3 apart, so at most 1 is visible per reel. P(visible on reel i) = rows × count / length. Enumerate all 2^5 = 32 visible/not-visible combinations to get the distribution of the SCATTER count.</t>
  </si>
  <si>
    <t xml:space="preserve">Reel</t>
  </si>
  <si>
    <t xml:space="preserve">SCATTER count</t>
  </si>
  <si>
    <t xml:space="preserve">Visible prob p</t>
  </si>
  <si>
    <t xml:space="preserve">Visible pattern enumeration (1 = visible)</t>
  </si>
  <si>
    <t xml:space="preserve">Pattern</t>
  </si>
  <si>
    <t xml:space="preserve">Count</t>
  </si>
  <si>
    <t xml:space="preserve">Probability</t>
  </si>
  <si>
    <t xml:space="preserve">SCATTER count distribution and pays</t>
  </si>
  <si>
    <t xml:space="preserve">Pay (x total bet)</t>
  </si>
  <si>
    <t xml:space="preserve">Contribution</t>
  </si>
  <si>
    <t xml:space="preserve">1 in N</t>
  </si>
  <si>
    <t xml:space="preserve">← scatter RTP</t>
  </si>
  <si>
    <t xml:space="preserve">FS trigger probability</t>
  </si>
  <si>
    <t xml:space="preserve">FS trigger 1 in N</t>
  </si>
  <si>
    <t xml:space="preserve">Free Spin Calc (exact)</t>
  </si>
  <si>
    <t xml:space="preserve">Free spins use the same reels as the base game, with every win × multiplier. Each FS spin retriggers with probability p and adds R more spins → expected total spins = N / (1 − R·p) (branching process, finite when R·p &lt; 1).</t>
  </si>
  <si>
    <t xml:space="preserve">Formula / notes</t>
  </si>
  <si>
    <t xml:space="preserve">FS trigger probability p</t>
  </si>
  <si>
    <t xml:space="preserve">Scatter Calc sheet</t>
  </si>
  <si>
    <t xml:space="preserve">Spins awarded N</t>
  </si>
  <si>
    <t xml:space="preserve">Retrigger spins R</t>
  </si>
  <si>
    <t xml:space="preserve">Multiplier M</t>
  </si>
  <si>
    <t xml:space="preserve">Branching rate R·p</t>
  </si>
  <si>
    <t xml:space="preserve">Must be below 1</t>
  </si>
  <si>
    <t xml:space="preserve">Expected total FS spins</t>
  </si>
  <si>
    <t xml:space="preserve">N / (1 − R·p)</t>
  </si>
  <si>
    <t xml:space="preserve">Base RTP (line + scatter)</t>
  </si>
  <si>
    <t xml:space="preserve">Expected pay per spin (x total bet)</t>
  </si>
  <si>
    <t xml:space="preserve">Expected pay per FS spin (x total bet)</t>
  </si>
  <si>
    <t xml:space="preserve">Base RTP × M</t>
  </si>
  <si>
    <t xml:space="preserve">Expected total win per FS feature (x total bet)</t>
  </si>
  <si>
    <t xml:space="preserve">Expected total spins × pay per spin</t>
  </si>
  <si>
    <t xml:space="preserve">FS RTP contribution</t>
  </si>
  <si>
    <t xml:space="preserve">p × expected feature win</t>
  </si>
  <si>
    <t xml:space="preserve">Component</t>
  </si>
  <si>
    <t xml:space="preserve">RTP</t>
  </si>
  <si>
    <t xml:space="preserve">Share</t>
  </si>
  <si>
    <t xml:space="preserve">Source</t>
  </si>
  <si>
    <t xml:space="preserve">Line pays</t>
  </si>
  <si>
    <t xml:space="preserve">Scatter pays</t>
  </si>
  <si>
    <t xml:space="preserve">Base game subtotal</t>
  </si>
  <si>
    <t xml:space="preserve">Difference from target</t>
  </si>
  <si>
    <t xml:space="preserve">Verdict (within ±0.1%)</t>
  </si>
  <si>
    <t xml:space="preserve">Simulation Results (SDK slotsim)</t>
  </si>
  <si>
    <t xml:space="preserve">Source: slotsim report / math neon_fortune v1.0.0 / generated 2026-09-23T12:11:03Z. Values are pasted from the SDK output (they don't recalculate). After changing the math, rerun make_specs.sh.</t>
  </si>
  <si>
    <t xml:space="preserve">Monte Carlo</t>
  </si>
  <si>
    <t xml:space="preserve">Full cycle (base game)</t>
  </si>
  <si>
    <t xml:space="preserve">Rounds</t>
  </si>
  <si>
    <t xml:space="preserve">Combinations</t>
  </si>
  <si>
    <t xml:space="preserve">Base RTP (exact)</t>
  </si>
  <si>
    <t xml:space="preserve">RTP 95% CI (±)</t>
  </si>
  <si>
    <t xml:space="preserve">Hit frequency (exact)</t>
  </si>
  <si>
    <t xml:space="preserve">Base RTP</t>
  </si>
  <si>
    <t xml:space="preserve">Max base win (x total bet)</t>
  </si>
  <si>
    <t xml:space="preserve">FS RTP</t>
  </si>
  <si>
    <t xml:space="preserve">FS trigger probability (exact)</t>
  </si>
  <si>
    <t xml:space="preserve">Hit frequency</t>
  </si>
  <si>
    <t xml:space="preserve">FS trigger frequency</t>
  </si>
  <si>
    <t xml:space="preserve">SDK theory (TheoreticalCalculator)</t>
  </si>
  <si>
    <t xml:space="preserve">Average FS spins</t>
  </si>
  <si>
    <t xml:space="preserve">Average FS feature win (x total bet)</t>
  </si>
  <si>
    <t xml:space="preserve">Standard deviation (per round)</t>
  </si>
  <si>
    <t xml:space="preserve">Max round win (x total bet)</t>
  </si>
  <si>
    <t xml:space="preserve">Seed</t>
  </si>
  <si>
    <t xml:space="preserve">20260923</t>
  </si>
  <si>
    <t xml:space="preserve">Win distribution (round win ÷ total bet)</t>
  </si>
  <si>
    <t xml:space="preserve">Range</t>
  </si>
  <si>
    <t xml:space="preserve">MC probability</t>
  </si>
  <si>
    <t xml:space="preserve">MC 1 in N</t>
  </si>
  <si>
    <t xml:space="preserve">Full cycle probability (base only)</t>
  </si>
  <si>
    <t xml:space="preserve">0 (no win)</t>
  </si>
  <si>
    <t xml:space="preserve">0-1x</t>
  </si>
  <si>
    <t xml:space="preserve">1-2x</t>
  </si>
  <si>
    <t xml:space="preserve">2-5x</t>
  </si>
  <si>
    <t xml:space="preserve">5-10x</t>
  </si>
  <si>
    <t xml:space="preserve">10-20x</t>
  </si>
  <si>
    <t xml:space="preserve">20-50x</t>
  </si>
  <si>
    <t xml:space="preserve">50-100x</t>
  </si>
  <si>
    <t xml:space="preserve">100-500x</t>
  </si>
  <si>
    <t xml:space="preserve">500x+</t>
  </si>
  <si>
    <t xml:space="preserve">Verification (Excel formulas vs SDK)</t>
  </si>
  <si>
    <t xml:space="preserve">Checks that the theoretical values from the Excel formulas agree with the SDK's independent calculations (evaluator enumeration and Monte Carlo).</t>
  </si>
  <si>
    <t xml:space="preserve">Excel theory</t>
  </si>
  <si>
    <t xml:space="preserve">SDK</t>
  </si>
  <si>
    <t xml:space="preserve">Difference / z</t>
  </si>
  <si>
    <t xml:space="preserve">Verdict</t>
  </si>
  <si>
    <t xml:space="preserve">Criterion</t>
  </si>
  <si>
    <t xml:space="preserve">Base RTP vs full cycle</t>
  </si>
  <si>
    <t xml:space="preserve">Exact match (|difference| &lt; 1e-9). Formula vs full enumeration of every stop combination by the actual evaluator</t>
  </si>
  <si>
    <t xml:space="preserve">FS trigger vs full cycle</t>
  </si>
  <si>
    <t xml:space="preserve">Exact match</t>
  </si>
  <si>
    <t xml:space="preserve">Total RTP vs SDK theory</t>
  </si>
  <si>
    <t xml:space="preserve">Excel formulas vs C# TheoreticalCalculator</t>
  </si>
  <si>
    <t xml:space="preserve">Total RTP vs Monte Carlo</t>
  </si>
  <si>
    <t xml:space="preserve">Within ±4σ in standard error (z value)</t>
  </si>
  <si>
    <t xml:space="preserve">If you change the math in Excel, run export_math.py → make_specs.sh so the SDK-side values are recomputed.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</si>
</sst>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00%"/>
    <numFmt numFmtId="166" formatCode="#,##0.00"/>
    <numFmt numFmtId="167" formatCode="0.000"/>
    <numFmt numFmtId="168" formatCode="0.00%"/>
    <numFmt numFmtId="169" formatCode="#,##0"/>
    <numFmt numFmtId="170" formatCode="General"/>
    <numFmt numFmtId="171" formatCode="0.00000000"/>
    <numFmt numFmtId="172" formatCode="0.000000"/>
    <numFmt numFmtId="173" formatCode="0.0000"/>
    <numFmt numFmtId="174" formatCode="0.00"/>
    <numFmt numFmtId="175" formatCode="0.0000000000%"/>
    <numFmt numFmtId="176" formatCode="0.0000000000"/>
    <numFmt numFmtId="177" formatCode="0%"/>
    <numFmt numFmtId="178" formatCode="0.00E+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Meiryo UI"/>
      <family val="0"/>
      <charset val="1"/>
    </font>
    <font>
      <b val="true"/>
      <sz val="10"/>
      <name val="Meiryo UI"/>
      <family val="0"/>
      <charset val="1"/>
    </font>
    <font>
      <sz val="10"/>
      <name val="Meiryo UI"/>
      <family val="0"/>
      <charset val="1"/>
    </font>
    <font>
      <b val="true"/>
      <sz val="11"/>
      <color rgb="FF1F2A44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sz val="10"/>
      <color rgb="FF0000FF"/>
      <name val="Meiryo UI"/>
      <family val="0"/>
      <charset val="1"/>
    </font>
    <font>
      <sz val="10"/>
      <color rgb="FF008000"/>
      <name val="Meiryo UI"/>
      <family val="0"/>
      <charset val="1"/>
    </font>
    <font>
      <i val="true"/>
      <sz val="9"/>
      <color rgb="FF666666"/>
      <name val="Meiryo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9"/>
        <bgColor rgb="FFD9D9D9"/>
      </patternFill>
    </fill>
    <fill>
      <patternFill patternType="solid">
        <fgColor rgb="FF1F2A44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3E8F2"/>
        <bgColor rgb="FFD6DC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 diagonalUp="false" diagonalDown="false">
      <left style="thin">
        <color rgb="FFB0B7C3"/>
      </left>
      <right/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E1BEE7"/>
        </patternFill>
      </fill>
    </dxf>
    <dxf>
      <fill>
        <patternFill>
          <bgColor rgb="FFFFE082"/>
        </patternFill>
      </fill>
    </dxf>
    <dxf>
      <fill>
        <patternFill>
          <bgColor rgb="FFFFCDD2"/>
        </patternFill>
      </fill>
    </dxf>
    <dxf>
      <fill>
        <patternFill>
          <bgColor rgb="FFB3E5FC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78787"/>
      <rgbColor rgb="FF9999FF"/>
      <rgbColor rgb="FF993366"/>
      <rgbColor rgb="FFFFF9C4"/>
      <rgbColor rgb="FFE3E8F2"/>
      <rgbColor rgb="FF660066"/>
      <rgbColor rgb="FFFF8080"/>
      <rgbColor rgb="FF0066CC"/>
      <rgbColor rgb="FFD6DC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8E6C9"/>
      <rgbColor rgb="FFFFFF99"/>
      <rgbColor rgb="FFB3E5FC"/>
      <rgbColor rgb="FFFFCDD2"/>
      <rgbColor rgb="FFE1BEE7"/>
      <rgbColor rgb="FFFFE082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distribution (Monte Carlo)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'Simulation Results'!B19</c:f>
              <c:strCache>
                <c:ptCount val="1"/>
                <c:pt idx="0">
                  <c:v>MC probability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'Simulation Results'!$A$20:$A$29</c:f>
              <c:strCache>
                <c:ptCount val="10"/>
                <c:pt idx="0">
                  <c:v>0 (no win)</c:v>
                </c:pt>
                <c:pt idx="1">
                  <c:v>0-1x</c:v>
                </c:pt>
                <c:pt idx="2">
                  <c:v>1-2x</c:v>
                </c:pt>
                <c:pt idx="3">
                  <c:v>2-5x</c:v>
                </c:pt>
                <c:pt idx="4">
                  <c:v>5-10x</c:v>
                </c:pt>
                <c:pt idx="5">
                  <c:v>10-20x</c:v>
                </c:pt>
                <c:pt idx="6">
                  <c:v>20-50x</c:v>
                </c:pt>
                <c:pt idx="7">
                  <c:v>50-100x</c:v>
                </c:pt>
                <c:pt idx="8">
                  <c:v>100-500x</c:v>
                </c:pt>
                <c:pt idx="9">
                  <c:v>500x+</c:v>
                </c:pt>
              </c:strCache>
            </c:strRef>
          </c:cat>
          <c:val>
            <c:numRef>
              <c:f>'Simulation Results'!$B$20:$B$29</c:f>
              <c:numCache>
                <c:formatCode>0.0000%</c:formatCode>
                <c:ptCount val="10"/>
                <c:pt idx="0">
                  <c:v>0.46153433</c:v>
                </c:pt>
                <c:pt idx="1">
                  <c:v>0.29158226</c:v>
                </c:pt>
                <c:pt idx="2">
                  <c:v>0.12668461</c:v>
                </c:pt>
                <c:pt idx="3">
                  <c:v>0.0859521</c:v>
                </c:pt>
                <c:pt idx="4">
                  <c:v>0.02248187</c:v>
                </c:pt>
                <c:pt idx="5">
                  <c:v>0.00665762</c:v>
                </c:pt>
                <c:pt idx="6">
                  <c:v>0.00427281</c:v>
                </c:pt>
                <c:pt idx="7">
                  <c:v>0.00077494</c:v>
                </c:pt>
                <c:pt idx="8">
                  <c:v>5.946E-005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79108661"/>
        <c:axId val="89996411"/>
      </c:barChart>
      <c:catAx>
        <c:axId val="79108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Round win / total bet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96411"/>
        <c:crosses val="autoZero"/>
        <c:auto val="1"/>
        <c:lblAlgn val="ctr"/>
        <c:lblOffset val="100"/>
        <c:noMultiLvlLbl val="0"/>
      </c:catAx>
      <c:valAx>
        <c:axId val="89996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086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11</xdr:col>
      <xdr:colOff>31320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99568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1" customFormat="false" ht="15" hidden="false" customHeight="false" outlineLevel="0" collapsed="false">
      <c r="A11" s="4" t="s">
        <v>13</v>
      </c>
    </row>
    <row r="12" customFormat="false" ht="15" hidden="false" customHeight="false" outlineLevel="0" collapsed="false">
      <c r="A12" s="5" t="s">
        <v>14</v>
      </c>
      <c r="B12" s="5" t="s">
        <v>15</v>
      </c>
    </row>
    <row r="13" customFormat="false" ht="15" hidden="false" customHeight="false" outlineLevel="0" collapsed="false">
      <c r="A13" s="3" t="s">
        <v>16</v>
      </c>
      <c r="B13" s="3" t="s">
        <v>17</v>
      </c>
    </row>
    <row r="14" customFormat="false" ht="15" hidden="false" customHeight="false" outlineLevel="0" collapsed="false">
      <c r="A14" s="3" t="s">
        <v>18</v>
      </c>
      <c r="B14" s="3" t="s">
        <v>19</v>
      </c>
    </row>
    <row r="15" customFormat="false" ht="15" hidden="false" customHeight="false" outlineLevel="0" collapsed="false">
      <c r="A15" s="3" t="s">
        <v>20</v>
      </c>
      <c r="B15" s="3" t="s">
        <v>21</v>
      </c>
    </row>
    <row r="16" customFormat="false" ht="15" hidden="false" customHeight="false" outlineLevel="0" collapsed="false">
      <c r="A16" s="3" t="s">
        <v>22</v>
      </c>
      <c r="B16" s="3" t="s">
        <v>23</v>
      </c>
    </row>
    <row r="17" customFormat="false" ht="15" hidden="false" customHeight="false" outlineLevel="0" collapsed="false">
      <c r="A17" s="3" t="s">
        <v>24</v>
      </c>
      <c r="B17" s="3" t="s">
        <v>25</v>
      </c>
    </row>
    <row r="18" customFormat="false" ht="15" hidden="false" customHeight="false" outlineLevel="0" collapsed="false">
      <c r="A18" s="3" t="s">
        <v>26</v>
      </c>
      <c r="B18" s="3" t="s">
        <v>27</v>
      </c>
    </row>
    <row r="19" customFormat="false" ht="15" hidden="false" customHeight="false" outlineLevel="0" collapsed="false">
      <c r="A19" s="3" t="s">
        <v>28</v>
      </c>
      <c r="B19" s="3" t="s">
        <v>29</v>
      </c>
    </row>
    <row r="20" customFormat="false" ht="15" hidden="false" customHeight="false" outlineLevel="0" collapsed="false">
      <c r="A20" s="3" t="s">
        <v>30</v>
      </c>
      <c r="B20" s="3" t="s">
        <v>31</v>
      </c>
    </row>
    <row r="21" customFormat="false" ht="15" hidden="false" customHeight="false" outlineLevel="0" collapsed="false">
      <c r="A21" s="3" t="s">
        <v>32</v>
      </c>
      <c r="B21" s="3" t="s">
        <v>33</v>
      </c>
    </row>
    <row r="22" customFormat="false" ht="15" hidden="false" customHeight="false" outlineLevel="0" collapsed="false">
      <c r="A22" s="3" t="s">
        <v>34</v>
      </c>
      <c r="B22" s="3" t="s">
        <v>35</v>
      </c>
    </row>
    <row r="23" customFormat="false" ht="15" hidden="false" customHeight="false" outlineLevel="0" collapsed="false">
      <c r="A23" s="3" t="s">
        <v>36</v>
      </c>
      <c r="B23" s="3" t="s">
        <v>37</v>
      </c>
    </row>
    <row r="24" customFormat="false" ht="15" hidden="false" customHeight="false" outlineLevel="0" collapsed="false">
      <c r="A24" s="3" t="s">
        <v>38</v>
      </c>
      <c r="B24" s="3" t="s">
        <v>39</v>
      </c>
    </row>
    <row r="25" customFormat="false" ht="15" hidden="false" customHeight="false" outlineLevel="0" collapsed="false">
      <c r="A25" s="3" t="s">
        <v>40</v>
      </c>
      <c r="B25" s="3" t="s">
        <v>41</v>
      </c>
    </row>
    <row r="27" customFormat="false" ht="15" hidden="false" customHeight="false" outlineLevel="0" collapsed="false">
      <c r="A27" s="4" t="s">
        <v>42</v>
      </c>
    </row>
    <row r="28" customFormat="false" ht="15" hidden="false" customHeight="false" outlineLevel="0" collapsed="false">
      <c r="A28" s="6" t="s">
        <v>43</v>
      </c>
      <c r="B28" s="3" t="s">
        <v>44</v>
      </c>
    </row>
    <row r="29" customFormat="false" ht="15" hidden="false" customHeight="false" outlineLevel="0" collapsed="false">
      <c r="A29" s="3" t="s">
        <v>45</v>
      </c>
      <c r="B29" s="3" t="s">
        <v>46</v>
      </c>
    </row>
    <row r="30" customFormat="false" ht="15" hidden="false" customHeight="false" outlineLevel="0" collapsed="false">
      <c r="A30" s="7" t="s">
        <v>47</v>
      </c>
      <c r="B30" s="3" t="s">
        <v>48</v>
      </c>
    </row>
    <row r="31" customFormat="false" ht="15" hidden="false" customHeight="false" outlineLevel="0" collapsed="false">
      <c r="A31" s="8" t="s">
        <v>49</v>
      </c>
      <c r="B31" s="3" t="s">
        <v>50</v>
      </c>
    </row>
    <row r="33" customFormat="false" ht="15" hidden="false" customHeight="false" outlineLevel="0" collapsed="false">
      <c r="A33" s="4" t="s">
        <v>51</v>
      </c>
    </row>
    <row r="34" customFormat="false" ht="15" hidden="false" customHeight="false" outlineLevel="0" collapsed="false">
      <c r="A34" s="5" t="s">
        <v>52</v>
      </c>
      <c r="B34" s="5" t="s">
        <v>53</v>
      </c>
      <c r="C34" s="5" t="s">
        <v>54</v>
      </c>
      <c r="D34" s="5" t="s">
        <v>9</v>
      </c>
    </row>
    <row r="35" customFormat="false" ht="15" hidden="false" customHeight="false" outlineLevel="0" collapsed="false">
      <c r="A35" s="3" t="s">
        <v>6</v>
      </c>
      <c r="B35" s="3" t="s">
        <v>55</v>
      </c>
      <c r="C35" s="3" t="s">
        <v>8</v>
      </c>
      <c r="D35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9" t="s">
        <v>57</v>
      </c>
    </row>
    <row r="4" customFormat="false" ht="15" hidden="false" customHeight="false" outlineLevel="0" collapsed="false">
      <c r="A4" s="5" t="s">
        <v>58</v>
      </c>
      <c r="B4" s="5" t="s">
        <v>59</v>
      </c>
      <c r="C4" s="5" t="s">
        <v>60</v>
      </c>
      <c r="D4" s="5" t="s">
        <v>61</v>
      </c>
    </row>
    <row r="5" customFormat="false" ht="15" hidden="false" customHeight="false" outlineLevel="0" collapsed="false">
      <c r="A5" s="10" t="s">
        <v>62</v>
      </c>
      <c r="B5" s="11" t="n">
        <f aca="false">'RTP Breakdown'!B9</f>
        <v>0.959793854228594</v>
      </c>
      <c r="C5" s="11" t="n">
        <f aca="false">'Simulation Results'!B6</f>
        <v>0.960202916</v>
      </c>
      <c r="D5" s="3" t="s">
        <v>63</v>
      </c>
    </row>
    <row r="6" customFormat="false" ht="15" hidden="false" customHeight="false" outlineLevel="0" collapsed="false">
      <c r="A6" s="3" t="s">
        <v>64</v>
      </c>
      <c r="B6" s="11" t="n">
        <f aca="false">'RTP Breakdown'!B5</f>
        <v>0.759958920534779</v>
      </c>
      <c r="C6" s="11"/>
      <c r="D6" s="3"/>
    </row>
    <row r="7" customFormat="false" ht="15" hidden="false" customHeight="false" outlineLevel="0" collapsed="false">
      <c r="A7" s="3" t="s">
        <v>65</v>
      </c>
      <c r="B7" s="11" t="n">
        <f aca="false">'RTP Breakdown'!B6</f>
        <v>0.0175198832175576</v>
      </c>
      <c r="C7" s="11"/>
      <c r="D7" s="3"/>
    </row>
    <row r="8" customFormat="false" ht="15" hidden="false" customHeight="false" outlineLevel="0" collapsed="false">
      <c r="A8" s="3" t="s">
        <v>66</v>
      </c>
      <c r="B8" s="11" t="n">
        <f aca="false">'RTP Breakdown'!B8</f>
        <v>0.182315050476258</v>
      </c>
      <c r="C8" s="11" t="n">
        <f aca="false">'Simulation Results'!B9</f>
        <v>0.1824035445</v>
      </c>
      <c r="D8" s="3"/>
    </row>
    <row r="9" customFormat="false" ht="15" hidden="false" customHeight="false" outlineLevel="0" collapsed="false">
      <c r="A9" s="10" t="s">
        <v>67</v>
      </c>
      <c r="B9" s="12" t="n">
        <f aca="false">'Scatter Calc'!B57</f>
        <v>137.934386391252</v>
      </c>
      <c r="C9" s="12" t="n">
        <f aca="false">1/'Simulation Results'!B11</f>
        <v>137.863338829485</v>
      </c>
      <c r="D9" s="3" t="s">
        <v>68</v>
      </c>
    </row>
    <row r="10" customFormat="false" ht="15" hidden="false" customHeight="false" outlineLevel="0" collapsed="false">
      <c r="A10" s="10" t="s">
        <v>69</v>
      </c>
      <c r="B10" s="13" t="n">
        <f aca="false">'Free Spin Calc'!B9</f>
        <v>10.7816506790768</v>
      </c>
      <c r="C10" s="13" t="n">
        <f aca="false">'Simulation Results'!B12</f>
        <v>10.7760603069389</v>
      </c>
      <c r="D10" s="3"/>
    </row>
    <row r="11" customFormat="false" ht="15" hidden="false" customHeight="false" outlineLevel="0" collapsed="false">
      <c r="A11" s="10" t="s">
        <v>70</v>
      </c>
      <c r="B11" s="14"/>
      <c r="C11" s="14" t="n">
        <f aca="false">'Simulation Results'!B10</f>
        <v>0.53846567</v>
      </c>
      <c r="D11" s="3" t="s">
        <v>71</v>
      </c>
    </row>
    <row r="12" customFormat="false" ht="15" hidden="false" customHeight="false" outlineLevel="0" collapsed="false">
      <c r="A12" s="10" t="s">
        <v>72</v>
      </c>
      <c r="B12" s="13"/>
      <c r="C12" s="13" t="n">
        <f aca="false">'Simulation Results'!B14</f>
        <v>3.24724925465493</v>
      </c>
      <c r="D12" s="3" t="s">
        <v>73</v>
      </c>
    </row>
    <row r="13" customFormat="false" ht="15" hidden="false" customHeight="false" outlineLevel="0" collapsed="false">
      <c r="A13" s="10" t="s">
        <v>74</v>
      </c>
      <c r="B13" s="12"/>
      <c r="C13" s="12" t="n">
        <f aca="false">'Simulation Results'!E8</f>
        <v>76</v>
      </c>
      <c r="D13" s="3" t="s">
        <v>75</v>
      </c>
    </row>
    <row r="14" customFormat="false" ht="15" hidden="false" customHeight="false" outlineLevel="0" collapsed="false">
      <c r="A14" s="10" t="s">
        <v>76</v>
      </c>
      <c r="B14" s="12"/>
      <c r="C14" s="12" t="n">
        <f aca="false">'Simulation Results'!B15</f>
        <v>333.05</v>
      </c>
      <c r="D14" s="3" t="s">
        <v>77</v>
      </c>
    </row>
    <row r="16" customFormat="false" ht="15" hidden="false" customHeight="false" outlineLevel="0" collapsed="false">
      <c r="A16" s="4" t="s">
        <v>78</v>
      </c>
    </row>
    <row r="17" customFormat="false" ht="15" hidden="false" customHeight="true" outlineLevel="0" collapsed="false">
      <c r="A17" s="2" t="s">
        <v>79</v>
      </c>
      <c r="B17" s="15" t="s">
        <v>80</v>
      </c>
      <c r="C17" s="15"/>
      <c r="D17" s="15"/>
    </row>
    <row r="18" customFormat="false" ht="15" hidden="false" customHeight="true" outlineLevel="0" collapsed="false">
      <c r="A18" s="2" t="s">
        <v>81</v>
      </c>
      <c r="B18" s="15" t="s">
        <v>82</v>
      </c>
      <c r="C18" s="15"/>
      <c r="D18" s="15"/>
    </row>
    <row r="19" customFormat="false" ht="15" hidden="false" customHeight="true" outlineLevel="0" collapsed="false">
      <c r="A19" s="2" t="s">
        <v>83</v>
      </c>
      <c r="B19" s="15" t="s">
        <v>84</v>
      </c>
      <c r="C19" s="15"/>
      <c r="D19" s="15"/>
    </row>
    <row r="20" customFormat="false" ht="15" hidden="false" customHeight="true" outlineLevel="0" collapsed="false">
      <c r="A20" s="2" t="s">
        <v>85</v>
      </c>
      <c r="B20" s="15" t="s">
        <v>86</v>
      </c>
      <c r="C20" s="15"/>
      <c r="D20" s="15"/>
    </row>
    <row r="21" customFormat="false" ht="15" hidden="false" customHeight="true" outlineLevel="0" collapsed="false">
      <c r="A21" s="2" t="s">
        <v>87</v>
      </c>
      <c r="B21" s="15" t="s">
        <v>88</v>
      </c>
      <c r="C21" s="15"/>
      <c r="D21" s="15"/>
    </row>
    <row r="22" customFormat="false" ht="15" hidden="false" customHeight="true" outlineLevel="0" collapsed="false">
      <c r="A22" s="2" t="s">
        <v>89</v>
      </c>
      <c r="B22" s="15" t="s">
        <v>90</v>
      </c>
      <c r="C22" s="15"/>
      <c r="D22" s="15"/>
    </row>
  </sheetData>
  <mergeCells count="6">
    <mergeCell ref="B17:D17"/>
    <mergeCell ref="B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9" t="s">
        <v>91</v>
      </c>
    </row>
    <row r="3" customFormat="false" ht="15" hidden="false" customHeight="false" outlineLevel="0" collapsed="false">
      <c r="A3" s="5" t="s">
        <v>58</v>
      </c>
      <c r="B3" s="5" t="s">
        <v>92</v>
      </c>
      <c r="C3" s="5"/>
      <c r="D3" s="5"/>
      <c r="E3" s="5"/>
      <c r="F3" s="5" t="s">
        <v>61</v>
      </c>
    </row>
    <row r="4" customFormat="false" ht="15" hidden="false" customHeight="false" outlineLevel="0" collapsed="false">
      <c r="A4" s="10" t="s">
        <v>93</v>
      </c>
      <c r="B4" s="16" t="n">
        <v>5</v>
      </c>
      <c r="F4" s="3" t="s">
        <v>94</v>
      </c>
    </row>
    <row r="5" customFormat="false" ht="15" hidden="false" customHeight="false" outlineLevel="0" collapsed="false">
      <c r="A5" s="10" t="s">
        <v>95</v>
      </c>
      <c r="B5" s="16" t="n">
        <v>3</v>
      </c>
      <c r="F5" s="3" t="s">
        <v>96</v>
      </c>
    </row>
    <row r="6" customFormat="false" ht="15" hidden="false" customHeight="false" outlineLevel="0" collapsed="false">
      <c r="A6" s="10" t="s">
        <v>97</v>
      </c>
      <c r="B6" s="16" t="n">
        <v>20</v>
      </c>
      <c r="F6" s="3" t="s">
        <v>98</v>
      </c>
    </row>
    <row r="7" customFormat="false" ht="15" hidden="false" customHeight="false" outlineLevel="0" collapsed="false">
      <c r="A7" s="10" t="s">
        <v>99</v>
      </c>
      <c r="B7" s="16" t="n">
        <v>1</v>
      </c>
      <c r="C7" s="16" t="n">
        <v>2</v>
      </c>
      <c r="D7" s="16" t="n">
        <v>5</v>
      </c>
      <c r="E7" s="16" t="n">
        <v>10</v>
      </c>
      <c r="F7" s="3" t="s">
        <v>100</v>
      </c>
    </row>
    <row r="8" customFormat="false" ht="15" hidden="false" customHeight="false" outlineLevel="0" collapsed="false">
      <c r="A8" s="10" t="s">
        <v>101</v>
      </c>
      <c r="B8" s="16" t="n">
        <v>0</v>
      </c>
      <c r="F8" s="3"/>
    </row>
    <row r="9" customFormat="false" ht="15" hidden="false" customHeight="false" outlineLevel="0" collapsed="false">
      <c r="A9" s="10" t="s">
        <v>102</v>
      </c>
      <c r="B9" s="16" t="n">
        <v>10</v>
      </c>
      <c r="F9" s="3" t="s">
        <v>103</v>
      </c>
    </row>
    <row r="10" customFormat="false" ht="15" hidden="false" customHeight="false" outlineLevel="0" collapsed="false">
      <c r="A10" s="10" t="s">
        <v>104</v>
      </c>
      <c r="B10" s="16" t="n">
        <v>10</v>
      </c>
      <c r="F10" s="3" t="s">
        <v>105</v>
      </c>
    </row>
    <row r="11" customFormat="false" ht="15" hidden="false" customHeight="false" outlineLevel="0" collapsed="false">
      <c r="A11" s="10" t="s">
        <v>106</v>
      </c>
      <c r="B11" s="16" t="n">
        <v>3</v>
      </c>
      <c r="F11" s="3" t="s">
        <v>107</v>
      </c>
    </row>
    <row r="12" customFormat="false" ht="15" hidden="false" customHeight="false" outlineLevel="0" collapsed="false">
      <c r="A12" s="10" t="s">
        <v>108</v>
      </c>
      <c r="B12" s="16" t="n">
        <v>3</v>
      </c>
      <c r="F12" s="3"/>
    </row>
    <row r="13" customFormat="false" ht="15" hidden="false" customHeight="false" outlineLevel="0" collapsed="false">
      <c r="A13" s="10" t="s">
        <v>109</v>
      </c>
      <c r="B13" s="17" t="n">
        <v>0.96</v>
      </c>
      <c r="F13" s="3" t="s">
        <v>110</v>
      </c>
    </row>
    <row r="14" customFormat="false" ht="15" hidden="false" customHeight="false" outlineLevel="0" collapsed="false">
      <c r="A14" s="10" t="s">
        <v>111</v>
      </c>
      <c r="B14" s="6" t="s">
        <v>83</v>
      </c>
      <c r="F14" s="3"/>
    </row>
    <row r="15" customFormat="false" ht="15" hidden="false" customHeight="false" outlineLevel="0" collapsed="false">
      <c r="A15" s="10" t="s">
        <v>112</v>
      </c>
      <c r="B15" s="6" t="s">
        <v>85</v>
      </c>
      <c r="F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20</v>
      </c>
    </row>
    <row r="3" customFormat="false" ht="15" hidden="false" customHeight="false" outlineLevel="0" collapsed="false">
      <c r="A3" s="5" t="s">
        <v>113</v>
      </c>
      <c r="B3" s="5" t="s">
        <v>114</v>
      </c>
      <c r="C3" s="5" t="s">
        <v>115</v>
      </c>
      <c r="D3" s="5" t="s">
        <v>93</v>
      </c>
      <c r="E3" s="5" t="s">
        <v>61</v>
      </c>
    </row>
    <row r="4" customFormat="false" ht="15" hidden="false" customHeight="false" outlineLevel="0" collapsed="false">
      <c r="A4" s="6" t="s">
        <v>83</v>
      </c>
      <c r="B4" s="6" t="s">
        <v>116</v>
      </c>
      <c r="C4" s="6" t="s">
        <v>117</v>
      </c>
      <c r="D4" s="3" t="s">
        <v>118</v>
      </c>
      <c r="E4" s="3" t="s">
        <v>84</v>
      </c>
    </row>
    <row r="5" customFormat="false" ht="15" hidden="false" customHeight="false" outlineLevel="0" collapsed="false">
      <c r="A5" s="6" t="s">
        <v>85</v>
      </c>
      <c r="B5" s="6" t="s">
        <v>119</v>
      </c>
      <c r="C5" s="6" t="s">
        <v>120</v>
      </c>
      <c r="D5" s="3" t="s">
        <v>121</v>
      </c>
      <c r="E5" s="3" t="s">
        <v>122</v>
      </c>
    </row>
    <row r="6" customFormat="false" ht="15" hidden="false" customHeight="false" outlineLevel="0" collapsed="false">
      <c r="A6" s="6" t="s">
        <v>123</v>
      </c>
      <c r="B6" s="6" t="s">
        <v>124</v>
      </c>
      <c r="C6" s="6" t="s">
        <v>125</v>
      </c>
      <c r="D6" s="3" t="s">
        <v>121</v>
      </c>
      <c r="E6" s="3" t="s">
        <v>126</v>
      </c>
    </row>
    <row r="7" customFormat="false" ht="15" hidden="false" customHeight="false" outlineLevel="0" collapsed="false">
      <c r="A7" s="6" t="s">
        <v>127</v>
      </c>
      <c r="B7" s="6" t="s">
        <v>128</v>
      </c>
      <c r="C7" s="6" t="s">
        <v>125</v>
      </c>
      <c r="D7" s="3" t="s">
        <v>121</v>
      </c>
      <c r="E7" s="3" t="s">
        <v>126</v>
      </c>
    </row>
    <row r="8" customFormat="false" ht="15" hidden="false" customHeight="false" outlineLevel="0" collapsed="false">
      <c r="A8" s="6" t="s">
        <v>129</v>
      </c>
      <c r="B8" s="6" t="s">
        <v>130</v>
      </c>
      <c r="C8" s="6" t="s">
        <v>125</v>
      </c>
      <c r="D8" s="3" t="s">
        <v>121</v>
      </c>
      <c r="E8" s="3" t="s">
        <v>126</v>
      </c>
    </row>
    <row r="9" customFormat="false" ht="15" hidden="false" customHeight="false" outlineLevel="0" collapsed="false">
      <c r="A9" s="6" t="s">
        <v>131</v>
      </c>
      <c r="B9" s="6" t="s">
        <v>132</v>
      </c>
      <c r="C9" s="6" t="s">
        <v>125</v>
      </c>
      <c r="D9" s="3" t="s">
        <v>121</v>
      </c>
      <c r="E9" s="3" t="s">
        <v>126</v>
      </c>
    </row>
    <row r="10" customFormat="false" ht="15" hidden="false" customHeight="false" outlineLevel="0" collapsed="false">
      <c r="A10" s="6" t="s">
        <v>133</v>
      </c>
      <c r="B10" s="6" t="s">
        <v>133</v>
      </c>
      <c r="C10" s="6" t="s">
        <v>125</v>
      </c>
      <c r="D10" s="3" t="s">
        <v>121</v>
      </c>
      <c r="E10" s="3" t="s">
        <v>126</v>
      </c>
    </row>
    <row r="11" customFormat="false" ht="15" hidden="false" customHeight="false" outlineLevel="0" collapsed="false">
      <c r="A11" s="6" t="s">
        <v>134</v>
      </c>
      <c r="B11" s="6" t="s">
        <v>134</v>
      </c>
      <c r="C11" s="6" t="s">
        <v>125</v>
      </c>
      <c r="D11" s="3" t="s">
        <v>121</v>
      </c>
      <c r="E11" s="3" t="s">
        <v>126</v>
      </c>
    </row>
    <row r="12" customFormat="false" ht="15" hidden="false" customHeight="false" outlineLevel="0" collapsed="false">
      <c r="A12" s="6" t="s">
        <v>135</v>
      </c>
      <c r="B12" s="6" t="s">
        <v>135</v>
      </c>
      <c r="C12" s="6" t="s">
        <v>125</v>
      </c>
      <c r="D12" s="3" t="s">
        <v>121</v>
      </c>
      <c r="E12" s="3" t="s">
        <v>126</v>
      </c>
    </row>
    <row r="13" customFormat="false" ht="15" hidden="false" customHeight="false" outlineLevel="0" collapsed="false">
      <c r="A13" s="6" t="s">
        <v>136</v>
      </c>
      <c r="B13" s="6" t="s">
        <v>136</v>
      </c>
      <c r="C13" s="6" t="s">
        <v>125</v>
      </c>
      <c r="D13" s="3" t="s">
        <v>121</v>
      </c>
      <c r="E13" s="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9" t="s">
        <v>137</v>
      </c>
    </row>
    <row r="4" customFormat="false" ht="15" hidden="false" customHeight="false" outlineLevel="0" collapsed="false">
      <c r="A4" s="5" t="s">
        <v>138</v>
      </c>
      <c r="B4" s="5" t="s">
        <v>139</v>
      </c>
      <c r="C4" s="5" t="s">
        <v>140</v>
      </c>
      <c r="D4" s="5" t="s">
        <v>141</v>
      </c>
      <c r="E4" s="5" t="s">
        <v>142</v>
      </c>
      <c r="F4" s="5" t="s">
        <v>143</v>
      </c>
      <c r="G4" s="5" t="s">
        <v>61</v>
      </c>
    </row>
    <row r="5" customFormat="false" ht="15" hidden="false" customHeight="false" outlineLevel="0" collapsed="false">
      <c r="A5" s="10" t="s">
        <v>123</v>
      </c>
      <c r="B5" s="18" t="n">
        <v>0</v>
      </c>
      <c r="C5" s="18" t="n">
        <v>2</v>
      </c>
      <c r="D5" s="18" t="n">
        <v>50</v>
      </c>
      <c r="E5" s="18" t="n">
        <v>200</v>
      </c>
      <c r="F5" s="18" t="n">
        <v>1000</v>
      </c>
      <c r="G5" s="3"/>
    </row>
    <row r="6" customFormat="false" ht="15" hidden="false" customHeight="false" outlineLevel="0" collapsed="false">
      <c r="A6" s="10" t="s">
        <v>127</v>
      </c>
      <c r="B6" s="18" t="n">
        <v>0</v>
      </c>
      <c r="C6" s="18" t="n">
        <v>0</v>
      </c>
      <c r="D6" s="18" t="n">
        <v>30</v>
      </c>
      <c r="E6" s="18" t="n">
        <v>100</v>
      </c>
      <c r="F6" s="18" t="n">
        <v>500</v>
      </c>
      <c r="G6" s="3"/>
    </row>
    <row r="7" customFormat="false" ht="15" hidden="false" customHeight="false" outlineLevel="0" collapsed="false">
      <c r="A7" s="10" t="s">
        <v>129</v>
      </c>
      <c r="B7" s="18" t="n">
        <v>0</v>
      </c>
      <c r="C7" s="18" t="n">
        <v>0</v>
      </c>
      <c r="D7" s="18" t="n">
        <v>20</v>
      </c>
      <c r="E7" s="18" t="n">
        <v>60</v>
      </c>
      <c r="F7" s="18" t="n">
        <v>250</v>
      </c>
      <c r="G7" s="3"/>
    </row>
    <row r="8" customFormat="false" ht="15" hidden="false" customHeight="false" outlineLevel="0" collapsed="false">
      <c r="A8" s="10" t="s">
        <v>131</v>
      </c>
      <c r="B8" s="18" t="n">
        <v>0</v>
      </c>
      <c r="C8" s="18" t="n">
        <v>0</v>
      </c>
      <c r="D8" s="18" t="n">
        <v>15</v>
      </c>
      <c r="E8" s="18" t="n">
        <v>40</v>
      </c>
      <c r="F8" s="18" t="n">
        <v>150</v>
      </c>
      <c r="G8" s="3"/>
    </row>
    <row r="9" customFormat="false" ht="15" hidden="false" customHeight="false" outlineLevel="0" collapsed="false">
      <c r="A9" s="10" t="s">
        <v>133</v>
      </c>
      <c r="B9" s="18" t="n">
        <v>0</v>
      </c>
      <c r="C9" s="18" t="n">
        <v>0</v>
      </c>
      <c r="D9" s="18" t="n">
        <v>10</v>
      </c>
      <c r="E9" s="18" t="n">
        <v>25</v>
      </c>
      <c r="F9" s="18" t="n">
        <v>100</v>
      </c>
      <c r="G9" s="3"/>
    </row>
    <row r="10" customFormat="false" ht="15" hidden="false" customHeight="false" outlineLevel="0" collapsed="false">
      <c r="A10" s="10" t="s">
        <v>134</v>
      </c>
      <c r="B10" s="18" t="n">
        <v>0</v>
      </c>
      <c r="C10" s="18" t="n">
        <v>0</v>
      </c>
      <c r="D10" s="18" t="n">
        <v>8</v>
      </c>
      <c r="E10" s="18" t="n">
        <v>20</v>
      </c>
      <c r="F10" s="18" t="n">
        <v>80</v>
      </c>
      <c r="G10" s="3"/>
    </row>
    <row r="11" customFormat="false" ht="15" hidden="false" customHeight="false" outlineLevel="0" collapsed="false">
      <c r="A11" s="10" t="s">
        <v>135</v>
      </c>
      <c r="B11" s="18" t="n">
        <v>0</v>
      </c>
      <c r="C11" s="18" t="n">
        <v>0</v>
      </c>
      <c r="D11" s="18" t="n">
        <v>5</v>
      </c>
      <c r="E11" s="18" t="n">
        <v>15</v>
      </c>
      <c r="F11" s="18" t="n">
        <v>60</v>
      </c>
      <c r="G11" s="3"/>
    </row>
    <row r="12" customFormat="false" ht="15" hidden="false" customHeight="false" outlineLevel="0" collapsed="false">
      <c r="A12" s="10" t="s">
        <v>136</v>
      </c>
      <c r="B12" s="18" t="n">
        <v>0</v>
      </c>
      <c r="C12" s="18" t="n">
        <v>0</v>
      </c>
      <c r="D12" s="18" t="n">
        <v>5</v>
      </c>
      <c r="E12" s="18" t="n">
        <v>10</v>
      </c>
      <c r="F12" s="18" t="n">
        <v>50</v>
      </c>
      <c r="G12" s="3"/>
    </row>
    <row r="14" customFormat="false" ht="15" hidden="false" customHeight="false" outlineLevel="0" collapsed="false">
      <c r="A14" s="5" t="s">
        <v>85</v>
      </c>
      <c r="B14" s="5" t="s">
        <v>144</v>
      </c>
      <c r="C14" s="5" t="s">
        <v>145</v>
      </c>
      <c r="D14" s="5" t="s">
        <v>146</v>
      </c>
      <c r="E14" s="5" t="s">
        <v>147</v>
      </c>
      <c r="F14" s="5" t="s">
        <v>148</v>
      </c>
      <c r="G14" s="5" t="s">
        <v>149</v>
      </c>
    </row>
    <row r="15" customFormat="false" ht="15" hidden="false" customHeight="false" outlineLevel="0" collapsed="false">
      <c r="A15" s="10" t="s">
        <v>85</v>
      </c>
      <c r="B15" s="18" t="n">
        <v>0</v>
      </c>
      <c r="C15" s="18" t="n">
        <v>0</v>
      </c>
      <c r="D15" s="18" t="n">
        <v>2</v>
      </c>
      <c r="E15" s="18" t="n">
        <v>10</v>
      </c>
      <c r="F15" s="18" t="n">
        <v>50</v>
      </c>
      <c r="G15" s="3" t="s">
        <v>150</v>
      </c>
    </row>
    <row r="17" customFormat="false" ht="15" hidden="false" customHeight="false" outlineLevel="0" collapsed="false">
      <c r="A17" s="9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  <col collapsed="false" customWidth="true" hidden="false" outlineLevel="0" max="7" min="7" style="0" width="4"/>
    <col collapsed="false" customWidth="true" hidden="false" outlineLevel="0" max="8" min="8" style="0" width="50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9" t="s">
        <v>152</v>
      </c>
    </row>
    <row r="3" customFormat="false" ht="15" hidden="false" customHeight="false" outlineLevel="0" collapsed="false">
      <c r="A3" s="19" t="s">
        <v>153</v>
      </c>
      <c r="B3" s="20" t="n">
        <f aca="false">COUNTA(B5:B104)</f>
        <v>44</v>
      </c>
      <c r="C3" s="20" t="n">
        <f aca="false">COUNTA(C5:C104)</f>
        <v>43</v>
      </c>
      <c r="D3" s="20" t="n">
        <f aca="false">COUNTA(D5:D104)</f>
        <v>42</v>
      </c>
      <c r="E3" s="20" t="n">
        <f aca="false">COUNTA(E5:E104)</f>
        <v>45</v>
      </c>
      <c r="F3" s="20" t="n">
        <f aca="false">COUNTA(F5:F104)</f>
        <v>42</v>
      </c>
    </row>
    <row r="4" customFormat="false" ht="15" hidden="false" customHeight="false" outlineLevel="0" collapsed="false">
      <c r="A4" s="5" t="s">
        <v>154</v>
      </c>
      <c r="B4" s="5" t="s">
        <v>155</v>
      </c>
      <c r="C4" s="5" t="s">
        <v>156</v>
      </c>
      <c r="D4" s="5" t="s">
        <v>157</v>
      </c>
      <c r="E4" s="5" t="s">
        <v>158</v>
      </c>
      <c r="F4" s="5" t="s">
        <v>159</v>
      </c>
      <c r="H4" s="21" t="s">
        <v>160</v>
      </c>
    </row>
    <row r="5" customFormat="false" ht="15" hidden="false" customHeight="false" outlineLevel="0" collapsed="false">
      <c r="A5" s="22" t="n">
        <v>0</v>
      </c>
      <c r="B5" s="6" t="s">
        <v>134</v>
      </c>
      <c r="C5" s="6" t="s">
        <v>133</v>
      </c>
      <c r="D5" s="6" t="s">
        <v>129</v>
      </c>
      <c r="E5" s="6" t="s">
        <v>131</v>
      </c>
      <c r="F5" s="6" t="s">
        <v>133</v>
      </c>
      <c r="H5" s="9" t="s">
        <v>161</v>
      </c>
    </row>
    <row r="6" customFormat="false" ht="15" hidden="false" customHeight="false" outlineLevel="0" collapsed="false">
      <c r="A6" s="22" t="n">
        <v>1</v>
      </c>
      <c r="B6" s="6" t="s">
        <v>85</v>
      </c>
      <c r="C6" s="6" t="s">
        <v>83</v>
      </c>
      <c r="D6" s="6" t="s">
        <v>133</v>
      </c>
      <c r="E6" s="6" t="s">
        <v>83</v>
      </c>
      <c r="F6" s="6" t="s">
        <v>135</v>
      </c>
      <c r="H6" s="9" t="s">
        <v>162</v>
      </c>
    </row>
    <row r="7" customFormat="false" ht="15" hidden="false" customHeight="false" outlineLevel="0" collapsed="false">
      <c r="A7" s="22" t="n">
        <v>2</v>
      </c>
      <c r="B7" s="6" t="s">
        <v>129</v>
      </c>
      <c r="C7" s="6" t="s">
        <v>135</v>
      </c>
      <c r="D7" s="6" t="s">
        <v>136</v>
      </c>
      <c r="E7" s="6" t="s">
        <v>134</v>
      </c>
      <c r="F7" s="6" t="s">
        <v>127</v>
      </c>
      <c r="H7" s="9" t="s">
        <v>163</v>
      </c>
    </row>
    <row r="8" customFormat="false" ht="15" hidden="false" customHeight="false" outlineLevel="0" collapsed="false">
      <c r="A8" s="22" t="n">
        <v>3</v>
      </c>
      <c r="B8" s="6" t="s">
        <v>127</v>
      </c>
      <c r="C8" s="6" t="s">
        <v>136</v>
      </c>
      <c r="D8" s="6" t="s">
        <v>134</v>
      </c>
      <c r="E8" s="6" t="s">
        <v>136</v>
      </c>
      <c r="F8" s="6" t="s">
        <v>136</v>
      </c>
    </row>
    <row r="9" customFormat="false" ht="15" hidden="false" customHeight="false" outlineLevel="0" collapsed="false">
      <c r="A9" s="22" t="n">
        <v>4</v>
      </c>
      <c r="B9" s="6" t="s">
        <v>133</v>
      </c>
      <c r="C9" s="6" t="s">
        <v>134</v>
      </c>
      <c r="D9" s="6" t="s">
        <v>127</v>
      </c>
      <c r="E9" s="6" t="s">
        <v>133</v>
      </c>
      <c r="F9" s="6" t="s">
        <v>135</v>
      </c>
    </row>
    <row r="10" customFormat="false" ht="15" hidden="false" customHeight="false" outlineLevel="0" collapsed="false">
      <c r="A10" s="22" t="n">
        <v>5</v>
      </c>
      <c r="B10" s="6" t="s">
        <v>135</v>
      </c>
      <c r="C10" s="6" t="s">
        <v>131</v>
      </c>
      <c r="D10" s="6" t="s">
        <v>135</v>
      </c>
      <c r="E10" s="6" t="s">
        <v>136</v>
      </c>
      <c r="F10" s="6" t="s">
        <v>133</v>
      </c>
    </row>
    <row r="11" customFormat="false" ht="15" hidden="false" customHeight="false" outlineLevel="0" collapsed="false">
      <c r="A11" s="22" t="n">
        <v>6</v>
      </c>
      <c r="B11" s="6" t="s">
        <v>134</v>
      </c>
      <c r="C11" s="6" t="s">
        <v>134</v>
      </c>
      <c r="D11" s="6" t="s">
        <v>123</v>
      </c>
      <c r="E11" s="6" t="s">
        <v>135</v>
      </c>
      <c r="F11" s="6" t="s">
        <v>129</v>
      </c>
    </row>
    <row r="12" customFormat="false" ht="15" hidden="false" customHeight="false" outlineLevel="0" collapsed="false">
      <c r="A12" s="22" t="n">
        <v>7</v>
      </c>
      <c r="B12" s="6" t="s">
        <v>135</v>
      </c>
      <c r="C12" s="6" t="s">
        <v>83</v>
      </c>
      <c r="D12" s="6" t="s">
        <v>129</v>
      </c>
      <c r="E12" s="6" t="s">
        <v>131</v>
      </c>
      <c r="F12" s="6" t="s">
        <v>133</v>
      </c>
    </row>
    <row r="13" customFormat="false" ht="15" hidden="false" customHeight="false" outlineLevel="0" collapsed="false">
      <c r="A13" s="22" t="n">
        <v>8</v>
      </c>
      <c r="B13" s="6" t="s">
        <v>127</v>
      </c>
      <c r="C13" s="6" t="s">
        <v>127</v>
      </c>
      <c r="D13" s="6" t="s">
        <v>131</v>
      </c>
      <c r="E13" s="6" t="s">
        <v>133</v>
      </c>
      <c r="F13" s="6" t="s">
        <v>131</v>
      </c>
    </row>
    <row r="14" customFormat="false" ht="15" hidden="false" customHeight="false" outlineLevel="0" collapsed="false">
      <c r="A14" s="22" t="n">
        <v>9</v>
      </c>
      <c r="B14" s="6" t="s">
        <v>134</v>
      </c>
      <c r="C14" s="6" t="s">
        <v>133</v>
      </c>
      <c r="D14" s="6" t="s">
        <v>129</v>
      </c>
      <c r="E14" s="6" t="s">
        <v>134</v>
      </c>
      <c r="F14" s="6" t="s">
        <v>135</v>
      </c>
    </row>
    <row r="15" customFormat="false" ht="15" hidden="false" customHeight="false" outlineLevel="0" collapsed="false">
      <c r="A15" s="22" t="n">
        <v>10</v>
      </c>
      <c r="B15" s="6" t="s">
        <v>133</v>
      </c>
      <c r="C15" s="6" t="s">
        <v>131</v>
      </c>
      <c r="D15" s="6" t="s">
        <v>83</v>
      </c>
      <c r="E15" s="6" t="s">
        <v>129</v>
      </c>
      <c r="F15" s="6" t="s">
        <v>123</v>
      </c>
    </row>
    <row r="16" customFormat="false" ht="15" hidden="false" customHeight="false" outlineLevel="0" collapsed="false">
      <c r="A16" s="22" t="n">
        <v>11</v>
      </c>
      <c r="B16" s="6" t="s">
        <v>136</v>
      </c>
      <c r="C16" s="6" t="s">
        <v>135</v>
      </c>
      <c r="D16" s="6" t="s">
        <v>131</v>
      </c>
      <c r="E16" s="6" t="s">
        <v>133</v>
      </c>
      <c r="F16" s="6" t="s">
        <v>136</v>
      </c>
    </row>
    <row r="17" customFormat="false" ht="15" hidden="false" customHeight="false" outlineLevel="0" collapsed="false">
      <c r="A17" s="22" t="n">
        <v>12</v>
      </c>
      <c r="B17" s="6" t="s">
        <v>134</v>
      </c>
      <c r="C17" s="6" t="s">
        <v>134</v>
      </c>
      <c r="D17" s="6" t="s">
        <v>134</v>
      </c>
      <c r="E17" s="6" t="s">
        <v>85</v>
      </c>
      <c r="F17" s="6" t="s">
        <v>133</v>
      </c>
    </row>
    <row r="18" customFormat="false" ht="15" hidden="false" customHeight="false" outlineLevel="0" collapsed="false">
      <c r="A18" s="22" t="n">
        <v>13</v>
      </c>
      <c r="B18" s="6" t="s">
        <v>135</v>
      </c>
      <c r="C18" s="6" t="s">
        <v>127</v>
      </c>
      <c r="D18" s="6" t="s">
        <v>135</v>
      </c>
      <c r="E18" s="6" t="s">
        <v>83</v>
      </c>
      <c r="F18" s="6" t="s">
        <v>85</v>
      </c>
    </row>
    <row r="19" customFormat="false" ht="15" hidden="false" customHeight="false" outlineLevel="0" collapsed="false">
      <c r="A19" s="22" t="n">
        <v>14</v>
      </c>
      <c r="B19" s="6" t="s">
        <v>129</v>
      </c>
      <c r="C19" s="6" t="s">
        <v>133</v>
      </c>
      <c r="D19" s="6" t="s">
        <v>133</v>
      </c>
      <c r="E19" s="6" t="s">
        <v>135</v>
      </c>
      <c r="F19" s="6" t="s">
        <v>134</v>
      </c>
    </row>
    <row r="20" customFormat="false" ht="15" hidden="false" customHeight="false" outlineLevel="0" collapsed="false">
      <c r="A20" s="22" t="n">
        <v>15</v>
      </c>
      <c r="B20" s="6" t="s">
        <v>133</v>
      </c>
      <c r="C20" s="6" t="s">
        <v>127</v>
      </c>
      <c r="D20" s="6" t="s">
        <v>83</v>
      </c>
      <c r="E20" s="6" t="s">
        <v>127</v>
      </c>
      <c r="F20" s="6" t="s">
        <v>133</v>
      </c>
    </row>
    <row r="21" customFormat="false" ht="15" hidden="false" customHeight="false" outlineLevel="0" collapsed="false">
      <c r="A21" s="22" t="n">
        <v>16</v>
      </c>
      <c r="B21" s="6" t="s">
        <v>123</v>
      </c>
      <c r="C21" s="6" t="s">
        <v>136</v>
      </c>
      <c r="D21" s="6" t="s">
        <v>136</v>
      </c>
      <c r="E21" s="6" t="s">
        <v>129</v>
      </c>
      <c r="F21" s="6" t="s">
        <v>129</v>
      </c>
    </row>
    <row r="22" customFormat="false" ht="15" hidden="false" customHeight="false" outlineLevel="0" collapsed="false">
      <c r="A22" s="22" t="n">
        <v>17</v>
      </c>
      <c r="B22" s="6" t="s">
        <v>131</v>
      </c>
      <c r="C22" s="6" t="s">
        <v>85</v>
      </c>
      <c r="D22" s="6" t="s">
        <v>134</v>
      </c>
      <c r="E22" s="6" t="s">
        <v>123</v>
      </c>
      <c r="F22" s="6" t="s">
        <v>135</v>
      </c>
    </row>
    <row r="23" customFormat="false" ht="15" hidden="false" customHeight="false" outlineLevel="0" collapsed="false">
      <c r="A23" s="22" t="n">
        <v>18</v>
      </c>
      <c r="B23" s="6" t="s">
        <v>133</v>
      </c>
      <c r="C23" s="6" t="s">
        <v>136</v>
      </c>
      <c r="D23" s="6" t="s">
        <v>83</v>
      </c>
      <c r="E23" s="6" t="s">
        <v>135</v>
      </c>
      <c r="F23" s="6" t="s">
        <v>136</v>
      </c>
    </row>
    <row r="24" customFormat="false" ht="15" hidden="false" customHeight="false" outlineLevel="0" collapsed="false">
      <c r="A24" s="22" t="n">
        <v>19</v>
      </c>
      <c r="B24" s="6" t="s">
        <v>131</v>
      </c>
      <c r="C24" s="6" t="s">
        <v>134</v>
      </c>
      <c r="D24" s="6" t="s">
        <v>135</v>
      </c>
      <c r="E24" s="6" t="s">
        <v>85</v>
      </c>
      <c r="F24" s="6" t="s">
        <v>131</v>
      </c>
    </row>
    <row r="25" customFormat="false" ht="15" hidden="false" customHeight="false" outlineLevel="0" collapsed="false">
      <c r="A25" s="22" t="n">
        <v>20</v>
      </c>
      <c r="B25" s="6" t="s">
        <v>136</v>
      </c>
      <c r="C25" s="6" t="s">
        <v>135</v>
      </c>
      <c r="D25" s="6" t="s">
        <v>133</v>
      </c>
      <c r="E25" s="6" t="s">
        <v>131</v>
      </c>
      <c r="F25" s="6" t="s">
        <v>127</v>
      </c>
    </row>
    <row r="26" customFormat="false" ht="15" hidden="false" customHeight="false" outlineLevel="0" collapsed="false">
      <c r="A26" s="22" t="n">
        <v>21</v>
      </c>
      <c r="B26" s="6" t="s">
        <v>135</v>
      </c>
      <c r="C26" s="6" t="s">
        <v>136</v>
      </c>
      <c r="D26" s="6" t="s">
        <v>135</v>
      </c>
      <c r="E26" s="6" t="s">
        <v>136</v>
      </c>
      <c r="F26" s="6" t="s">
        <v>136</v>
      </c>
    </row>
    <row r="27" customFormat="false" ht="15" hidden="false" customHeight="false" outlineLevel="0" collapsed="false">
      <c r="A27" s="22" t="n">
        <v>22</v>
      </c>
      <c r="B27" s="6" t="s">
        <v>133</v>
      </c>
      <c r="C27" s="6" t="s">
        <v>134</v>
      </c>
      <c r="D27" s="6" t="s">
        <v>136</v>
      </c>
      <c r="E27" s="6" t="s">
        <v>129</v>
      </c>
      <c r="F27" s="6" t="s">
        <v>134</v>
      </c>
    </row>
    <row r="28" customFormat="false" ht="15" hidden="false" customHeight="false" outlineLevel="0" collapsed="false">
      <c r="A28" s="22" t="n">
        <v>23</v>
      </c>
      <c r="B28" s="6" t="s">
        <v>136</v>
      </c>
      <c r="C28" s="6" t="s">
        <v>135</v>
      </c>
      <c r="D28" s="6" t="s">
        <v>131</v>
      </c>
      <c r="E28" s="6" t="s">
        <v>83</v>
      </c>
      <c r="F28" s="6" t="s">
        <v>135</v>
      </c>
    </row>
    <row r="29" customFormat="false" ht="15" hidden="false" customHeight="false" outlineLevel="0" collapsed="false">
      <c r="A29" s="22" t="n">
        <v>24</v>
      </c>
      <c r="B29" s="6" t="s">
        <v>127</v>
      </c>
      <c r="C29" s="6" t="s">
        <v>133</v>
      </c>
      <c r="D29" s="6" t="s">
        <v>134</v>
      </c>
      <c r="E29" s="6" t="s">
        <v>133</v>
      </c>
      <c r="F29" s="6" t="s">
        <v>129</v>
      </c>
    </row>
    <row r="30" customFormat="false" ht="15" hidden="false" customHeight="false" outlineLevel="0" collapsed="false">
      <c r="A30" s="22" t="n">
        <v>25</v>
      </c>
      <c r="B30" s="6" t="s">
        <v>136</v>
      </c>
      <c r="C30" s="6" t="s">
        <v>135</v>
      </c>
      <c r="D30" s="6" t="s">
        <v>135</v>
      </c>
      <c r="E30" s="6" t="s">
        <v>134</v>
      </c>
      <c r="F30" s="6" t="s">
        <v>136</v>
      </c>
    </row>
    <row r="31" customFormat="false" ht="15" hidden="false" customHeight="false" outlineLevel="0" collapsed="false">
      <c r="A31" s="22" t="n">
        <v>26</v>
      </c>
      <c r="B31" s="6" t="s">
        <v>131</v>
      </c>
      <c r="C31" s="6" t="s">
        <v>131</v>
      </c>
      <c r="D31" s="6" t="s">
        <v>133</v>
      </c>
      <c r="E31" s="6" t="s">
        <v>135</v>
      </c>
      <c r="F31" s="6" t="s">
        <v>127</v>
      </c>
    </row>
    <row r="32" customFormat="false" ht="15" hidden="false" customHeight="false" outlineLevel="0" collapsed="false">
      <c r="A32" s="22" t="n">
        <v>27</v>
      </c>
      <c r="B32" s="6" t="s">
        <v>136</v>
      </c>
      <c r="C32" s="6" t="s">
        <v>135</v>
      </c>
      <c r="D32" s="6" t="s">
        <v>123</v>
      </c>
      <c r="E32" s="6" t="s">
        <v>127</v>
      </c>
      <c r="F32" s="6" t="s">
        <v>131</v>
      </c>
    </row>
    <row r="33" customFormat="false" ht="15" hidden="false" customHeight="false" outlineLevel="0" collapsed="false">
      <c r="A33" s="22" t="n">
        <v>28</v>
      </c>
      <c r="B33" s="6" t="s">
        <v>133</v>
      </c>
      <c r="C33" s="6" t="s">
        <v>129</v>
      </c>
      <c r="D33" s="6" t="s">
        <v>134</v>
      </c>
      <c r="E33" s="6" t="s">
        <v>123</v>
      </c>
      <c r="F33" s="6" t="s">
        <v>135</v>
      </c>
    </row>
    <row r="34" customFormat="false" ht="15" hidden="false" customHeight="false" outlineLevel="0" collapsed="false">
      <c r="A34" s="22" t="n">
        <v>29</v>
      </c>
      <c r="B34" s="6" t="s">
        <v>134</v>
      </c>
      <c r="C34" s="6" t="s">
        <v>136</v>
      </c>
      <c r="D34" s="6" t="s">
        <v>133</v>
      </c>
      <c r="E34" s="6" t="s">
        <v>131</v>
      </c>
      <c r="F34" s="6" t="s">
        <v>136</v>
      </c>
    </row>
    <row r="35" customFormat="false" ht="15" hidden="false" customHeight="false" outlineLevel="0" collapsed="false">
      <c r="A35" s="22" t="n">
        <v>30</v>
      </c>
      <c r="B35" s="6" t="s">
        <v>136</v>
      </c>
      <c r="C35" s="6" t="s">
        <v>85</v>
      </c>
      <c r="D35" s="6" t="s">
        <v>134</v>
      </c>
      <c r="E35" s="6" t="s">
        <v>135</v>
      </c>
      <c r="F35" s="6" t="s">
        <v>131</v>
      </c>
    </row>
    <row r="36" customFormat="false" ht="15" hidden="false" customHeight="false" outlineLevel="0" collapsed="false">
      <c r="A36" s="22" t="n">
        <v>31</v>
      </c>
      <c r="B36" s="6" t="s">
        <v>131</v>
      </c>
      <c r="C36" s="6" t="s">
        <v>133</v>
      </c>
      <c r="D36" s="6" t="s">
        <v>135</v>
      </c>
      <c r="E36" s="6" t="s">
        <v>134</v>
      </c>
      <c r="F36" s="6" t="s">
        <v>123</v>
      </c>
    </row>
    <row r="37" customFormat="false" ht="15" hidden="false" customHeight="false" outlineLevel="0" collapsed="false">
      <c r="A37" s="22" t="n">
        <v>32</v>
      </c>
      <c r="B37" s="6" t="s">
        <v>133</v>
      </c>
      <c r="C37" s="6" t="s">
        <v>129</v>
      </c>
      <c r="D37" s="6" t="s">
        <v>83</v>
      </c>
      <c r="E37" s="6" t="s">
        <v>135</v>
      </c>
      <c r="F37" s="6" t="s">
        <v>134</v>
      </c>
    </row>
    <row r="38" customFormat="false" ht="15" hidden="false" customHeight="false" outlineLevel="0" collapsed="false">
      <c r="A38" s="22" t="n">
        <v>33</v>
      </c>
      <c r="B38" s="6" t="s">
        <v>129</v>
      </c>
      <c r="C38" s="6" t="s">
        <v>134</v>
      </c>
      <c r="D38" s="6" t="s">
        <v>136</v>
      </c>
      <c r="E38" s="6" t="s">
        <v>136</v>
      </c>
      <c r="F38" s="6" t="s">
        <v>133</v>
      </c>
    </row>
    <row r="39" customFormat="false" ht="15" hidden="false" customHeight="false" outlineLevel="0" collapsed="false">
      <c r="A39" s="22" t="n">
        <v>34</v>
      </c>
      <c r="B39" s="6" t="s">
        <v>136</v>
      </c>
      <c r="C39" s="6" t="s">
        <v>129</v>
      </c>
      <c r="D39" s="6" t="s">
        <v>135</v>
      </c>
      <c r="E39" s="6" t="s">
        <v>134</v>
      </c>
      <c r="F39" s="6" t="s">
        <v>134</v>
      </c>
    </row>
    <row r="40" customFormat="false" ht="15" hidden="false" customHeight="false" outlineLevel="0" collapsed="false">
      <c r="A40" s="22" t="n">
        <v>35</v>
      </c>
      <c r="B40" s="6" t="s">
        <v>129</v>
      </c>
      <c r="C40" s="6" t="s">
        <v>83</v>
      </c>
      <c r="D40" s="6" t="s">
        <v>131</v>
      </c>
      <c r="E40" s="6" t="s">
        <v>136</v>
      </c>
      <c r="F40" s="6" t="s">
        <v>135</v>
      </c>
    </row>
    <row r="41" customFormat="false" ht="15" hidden="false" customHeight="false" outlineLevel="0" collapsed="false">
      <c r="A41" s="22" t="n">
        <v>36</v>
      </c>
      <c r="B41" s="6" t="s">
        <v>133</v>
      </c>
      <c r="C41" s="6" t="s">
        <v>136</v>
      </c>
      <c r="D41" s="6" t="s">
        <v>127</v>
      </c>
      <c r="E41" s="6" t="s">
        <v>133</v>
      </c>
      <c r="F41" s="6" t="s">
        <v>136</v>
      </c>
    </row>
    <row r="42" customFormat="false" ht="15" hidden="false" customHeight="false" outlineLevel="0" collapsed="false">
      <c r="A42" s="22" t="n">
        <v>37</v>
      </c>
      <c r="B42" s="6" t="s">
        <v>135</v>
      </c>
      <c r="C42" s="6" t="s">
        <v>123</v>
      </c>
      <c r="D42" s="6" t="s">
        <v>133</v>
      </c>
      <c r="E42" s="6" t="s">
        <v>129</v>
      </c>
      <c r="F42" s="6" t="s">
        <v>134</v>
      </c>
    </row>
    <row r="43" customFormat="false" ht="15" hidden="false" customHeight="false" outlineLevel="0" collapsed="false">
      <c r="A43" s="22" t="n">
        <v>38</v>
      </c>
      <c r="B43" s="6" t="s">
        <v>133</v>
      </c>
      <c r="C43" s="6" t="s">
        <v>131</v>
      </c>
      <c r="D43" s="6" t="s">
        <v>83</v>
      </c>
      <c r="E43" s="6" t="s">
        <v>127</v>
      </c>
      <c r="F43" s="6" t="s">
        <v>131</v>
      </c>
    </row>
    <row r="44" customFormat="false" ht="15" hidden="false" customHeight="false" outlineLevel="0" collapsed="false">
      <c r="A44" s="22" t="n">
        <v>39</v>
      </c>
      <c r="B44" s="6" t="s">
        <v>131</v>
      </c>
      <c r="C44" s="6" t="s">
        <v>129</v>
      </c>
      <c r="D44" s="6" t="s">
        <v>136</v>
      </c>
      <c r="E44" s="6" t="s">
        <v>136</v>
      </c>
      <c r="F44" s="6" t="s">
        <v>134</v>
      </c>
    </row>
    <row r="45" customFormat="false" ht="15" hidden="false" customHeight="false" outlineLevel="0" collapsed="false">
      <c r="A45" s="22" t="n">
        <v>40</v>
      </c>
      <c r="B45" s="6" t="s">
        <v>127</v>
      </c>
      <c r="C45" s="6" t="s">
        <v>133</v>
      </c>
      <c r="D45" s="6" t="s">
        <v>85</v>
      </c>
      <c r="E45" s="6" t="s">
        <v>131</v>
      </c>
      <c r="F45" s="6" t="s">
        <v>133</v>
      </c>
    </row>
    <row r="46" customFormat="false" ht="15" hidden="false" customHeight="false" outlineLevel="0" collapsed="false">
      <c r="A46" s="22" t="n">
        <v>41</v>
      </c>
      <c r="B46" s="6" t="s">
        <v>135</v>
      </c>
      <c r="C46" s="6" t="s">
        <v>136</v>
      </c>
      <c r="D46" s="6" t="s">
        <v>136</v>
      </c>
      <c r="E46" s="6" t="s">
        <v>134</v>
      </c>
      <c r="F46" s="6" t="s">
        <v>129</v>
      </c>
    </row>
    <row r="47" customFormat="false" ht="15" hidden="false" customHeight="false" outlineLevel="0" collapsed="false">
      <c r="A47" s="22" t="n">
        <v>42</v>
      </c>
      <c r="B47" s="6" t="s">
        <v>123</v>
      </c>
      <c r="C47" s="6" t="s">
        <v>135</v>
      </c>
      <c r="E47" s="6" t="s">
        <v>133</v>
      </c>
    </row>
    <row r="48" customFormat="false" ht="15" hidden="false" customHeight="false" outlineLevel="0" collapsed="false">
      <c r="A48" s="22" t="n">
        <v>43</v>
      </c>
      <c r="B48" s="6" t="s">
        <v>135</v>
      </c>
      <c r="E48" s="6" t="s">
        <v>83</v>
      </c>
    </row>
    <row r="49" customFormat="false" ht="15" hidden="false" customHeight="false" outlineLevel="0" collapsed="false">
      <c r="A49" s="22" t="n">
        <v>44</v>
      </c>
      <c r="E49" s="6" t="s">
        <v>136</v>
      </c>
    </row>
  </sheetData>
  <conditionalFormatting sqref="B5:F104">
    <cfRule type="cellIs" priority="2" operator="equal" aboveAverage="0" equalAverage="0" bottom="0" percent="0" rank="0" text="" dxfId="0">
      <formula>"WILD"</formula>
    </cfRule>
    <cfRule type="cellIs" priority="3" operator="equal" aboveAverage="0" equalAverage="0" bottom="0" percent="0" rank="0" text="" dxfId="1">
      <formula>"SCATTER"</formula>
    </cfRule>
    <cfRule type="cellIs" priority="4" operator="equal" aboveAverage="0" equalAverage="0" bottom="0" percent="0" rank="0" text="" dxfId="2">
      <formula>"SEVEN"</formula>
    </cfRule>
    <cfRule type="cellIs" priority="5" operator="equal" aboveAverage="0" equalAverage="0" bottom="0" percent="0" rank="0" text="" dxfId="3">
      <formula>"DIAMOND"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8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9" t="s">
        <v>164</v>
      </c>
    </row>
    <row r="3" customFormat="false" ht="15" hidden="false" customHeight="false" outlineLevel="0" collapsed="false">
      <c r="A3" s="5" t="s">
        <v>165</v>
      </c>
      <c r="B3" s="5" t="s">
        <v>155</v>
      </c>
      <c r="C3" s="5" t="s">
        <v>156</v>
      </c>
      <c r="D3" s="5" t="s">
        <v>157</v>
      </c>
      <c r="E3" s="5" t="s">
        <v>158</v>
      </c>
      <c r="F3" s="5" t="s">
        <v>159</v>
      </c>
      <c r="G3" s="5" t="s">
        <v>166</v>
      </c>
    </row>
    <row r="4" customFormat="false" ht="15" hidden="false" customHeight="false" outlineLevel="0" collapsed="false">
      <c r="A4" s="22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22" t="str">
        <f aca="false">CHOOSE(B4+1,"▔","─","▁")&amp;CHOOSE(C4+1,"▔","─","▁")&amp;CHOOSE(D4+1,"▔","─","▁")&amp;CHOOSE(E4+1,"▔","─","▁")&amp;CHOOSE(F4+1,"▔","─","▁")</f>
        <v>─────</v>
      </c>
    </row>
    <row r="5" customFormat="false" ht="15" hidden="false" customHeight="false" outlineLevel="0" collapsed="false">
      <c r="A5" s="22" t="n">
        <v>2</v>
      </c>
      <c r="B5" s="16" t="n">
        <v>0</v>
      </c>
      <c r="C5" s="16" t="n">
        <v>0</v>
      </c>
      <c r="D5" s="16" t="n">
        <v>0</v>
      </c>
      <c r="E5" s="16" t="n">
        <v>0</v>
      </c>
      <c r="F5" s="16" t="n">
        <v>0</v>
      </c>
      <c r="G5" s="22" t="str">
        <f aca="false">CHOOSE(B5+1,"▔","─","▁")&amp;CHOOSE(C5+1,"▔","─","▁")&amp;CHOOSE(D5+1,"▔","─","▁")&amp;CHOOSE(E5+1,"▔","─","▁")&amp;CHOOSE(F5+1,"▔","─","▁")</f>
        <v>▔▔▔▔▔</v>
      </c>
    </row>
    <row r="6" customFormat="false" ht="15" hidden="false" customHeight="false" outlineLevel="0" collapsed="false">
      <c r="A6" s="22" t="n">
        <v>3</v>
      </c>
      <c r="B6" s="16" t="n">
        <v>2</v>
      </c>
      <c r="C6" s="16" t="n">
        <v>2</v>
      </c>
      <c r="D6" s="16" t="n">
        <v>2</v>
      </c>
      <c r="E6" s="16" t="n">
        <v>2</v>
      </c>
      <c r="F6" s="16" t="n">
        <v>2</v>
      </c>
      <c r="G6" s="22" t="str">
        <f aca="false">CHOOSE(B6+1,"▔","─","▁")&amp;CHOOSE(C6+1,"▔","─","▁")&amp;CHOOSE(D6+1,"▔","─","▁")&amp;CHOOSE(E6+1,"▔","─","▁")&amp;CHOOSE(F6+1,"▔","─","▁")</f>
        <v>▁▁▁▁▁</v>
      </c>
    </row>
    <row r="7" customFormat="false" ht="15" hidden="false" customHeight="false" outlineLevel="0" collapsed="false">
      <c r="A7" s="22" t="n">
        <v>4</v>
      </c>
      <c r="B7" s="16" t="n">
        <v>0</v>
      </c>
      <c r="C7" s="16" t="n">
        <v>1</v>
      </c>
      <c r="D7" s="16" t="n">
        <v>2</v>
      </c>
      <c r="E7" s="16" t="n">
        <v>1</v>
      </c>
      <c r="F7" s="16" t="n">
        <v>0</v>
      </c>
      <c r="G7" s="22" t="str">
        <f aca="false">CHOOSE(B7+1,"▔","─","▁")&amp;CHOOSE(C7+1,"▔","─","▁")&amp;CHOOSE(D7+1,"▔","─","▁")&amp;CHOOSE(E7+1,"▔","─","▁")&amp;CHOOSE(F7+1,"▔","─","▁")</f>
        <v>▔─▁─▔</v>
      </c>
    </row>
    <row r="8" customFormat="false" ht="15" hidden="false" customHeight="false" outlineLevel="0" collapsed="false">
      <c r="A8" s="22" t="n">
        <v>5</v>
      </c>
      <c r="B8" s="16" t="n">
        <v>2</v>
      </c>
      <c r="C8" s="16" t="n">
        <v>1</v>
      </c>
      <c r="D8" s="16" t="n">
        <v>0</v>
      </c>
      <c r="E8" s="16" t="n">
        <v>1</v>
      </c>
      <c r="F8" s="16" t="n">
        <v>2</v>
      </c>
      <c r="G8" s="22" t="str">
        <f aca="false">CHOOSE(B8+1,"▔","─","▁")&amp;CHOOSE(C8+1,"▔","─","▁")&amp;CHOOSE(D8+1,"▔","─","▁")&amp;CHOOSE(E8+1,"▔","─","▁")&amp;CHOOSE(F8+1,"▔","─","▁")</f>
        <v>▁─▔─▁</v>
      </c>
    </row>
    <row r="9" customFormat="false" ht="15" hidden="false" customHeight="false" outlineLevel="0" collapsed="false">
      <c r="A9" s="22" t="n">
        <v>6</v>
      </c>
      <c r="B9" s="16" t="n">
        <v>0</v>
      </c>
      <c r="C9" s="16" t="n">
        <v>0</v>
      </c>
      <c r="D9" s="16" t="n">
        <v>1</v>
      </c>
      <c r="E9" s="16" t="n">
        <v>2</v>
      </c>
      <c r="F9" s="16" t="n">
        <v>2</v>
      </c>
      <c r="G9" s="22" t="str">
        <f aca="false">CHOOSE(B9+1,"▔","─","▁")&amp;CHOOSE(C9+1,"▔","─","▁")&amp;CHOOSE(D9+1,"▔","─","▁")&amp;CHOOSE(E9+1,"▔","─","▁")&amp;CHOOSE(F9+1,"▔","─","▁")</f>
        <v>▔▔─▁▁</v>
      </c>
    </row>
    <row r="10" customFormat="false" ht="15" hidden="false" customHeight="false" outlineLevel="0" collapsed="false">
      <c r="A10" s="22" t="n">
        <v>7</v>
      </c>
      <c r="B10" s="16" t="n">
        <v>2</v>
      </c>
      <c r="C10" s="16" t="n">
        <v>2</v>
      </c>
      <c r="D10" s="16" t="n">
        <v>1</v>
      </c>
      <c r="E10" s="16" t="n">
        <v>0</v>
      </c>
      <c r="F10" s="16" t="n">
        <v>0</v>
      </c>
      <c r="G10" s="22" t="str">
        <f aca="false">CHOOSE(B10+1,"▔","─","▁")&amp;CHOOSE(C10+1,"▔","─","▁")&amp;CHOOSE(D10+1,"▔","─","▁")&amp;CHOOSE(E10+1,"▔","─","▁")&amp;CHOOSE(F10+1,"▔","─","▁")</f>
        <v>▁▁─▔▔</v>
      </c>
    </row>
    <row r="11" customFormat="false" ht="15" hidden="false" customHeight="false" outlineLevel="0" collapsed="false">
      <c r="A11" s="22" t="n">
        <v>8</v>
      </c>
      <c r="B11" s="16" t="n">
        <v>1</v>
      </c>
      <c r="C11" s="16" t="n">
        <v>0</v>
      </c>
      <c r="D11" s="16" t="n">
        <v>0</v>
      </c>
      <c r="E11" s="16" t="n">
        <v>0</v>
      </c>
      <c r="F11" s="16" t="n">
        <v>1</v>
      </c>
      <c r="G11" s="22" t="str">
        <f aca="false">CHOOSE(B11+1,"▔","─","▁")&amp;CHOOSE(C11+1,"▔","─","▁")&amp;CHOOSE(D11+1,"▔","─","▁")&amp;CHOOSE(E11+1,"▔","─","▁")&amp;CHOOSE(F11+1,"▔","─","▁")</f>
        <v>─▔▔▔─</v>
      </c>
    </row>
    <row r="12" customFormat="false" ht="15" hidden="false" customHeight="false" outlineLevel="0" collapsed="false">
      <c r="A12" s="22" t="n">
        <v>9</v>
      </c>
      <c r="B12" s="16" t="n">
        <v>1</v>
      </c>
      <c r="C12" s="16" t="n">
        <v>2</v>
      </c>
      <c r="D12" s="16" t="n">
        <v>2</v>
      </c>
      <c r="E12" s="16" t="n">
        <v>2</v>
      </c>
      <c r="F12" s="16" t="n">
        <v>1</v>
      </c>
      <c r="G12" s="22" t="str">
        <f aca="false">CHOOSE(B12+1,"▔","─","▁")&amp;CHOOSE(C12+1,"▔","─","▁")&amp;CHOOSE(D12+1,"▔","─","▁")&amp;CHOOSE(E12+1,"▔","─","▁")&amp;CHOOSE(F12+1,"▔","─","▁")</f>
        <v>─▁▁▁─</v>
      </c>
    </row>
    <row r="13" customFormat="false" ht="15" hidden="false" customHeight="false" outlineLevel="0" collapsed="false">
      <c r="A13" s="22" t="n">
        <v>10</v>
      </c>
      <c r="B13" s="16" t="n">
        <v>1</v>
      </c>
      <c r="C13" s="16" t="n">
        <v>0</v>
      </c>
      <c r="D13" s="16" t="n">
        <v>1</v>
      </c>
      <c r="E13" s="16" t="n">
        <v>2</v>
      </c>
      <c r="F13" s="16" t="n">
        <v>1</v>
      </c>
      <c r="G13" s="22" t="str">
        <f aca="false">CHOOSE(B13+1,"▔","─","▁")&amp;CHOOSE(C13+1,"▔","─","▁")&amp;CHOOSE(D13+1,"▔","─","▁")&amp;CHOOSE(E13+1,"▔","─","▁")&amp;CHOOSE(F13+1,"▔","─","▁")</f>
        <v>─▔─▁─</v>
      </c>
    </row>
    <row r="14" customFormat="false" ht="15" hidden="false" customHeight="false" outlineLevel="0" collapsed="false">
      <c r="A14" s="22" t="n">
        <v>11</v>
      </c>
      <c r="B14" s="16" t="n">
        <v>1</v>
      </c>
      <c r="C14" s="16" t="n">
        <v>2</v>
      </c>
      <c r="D14" s="16" t="n">
        <v>1</v>
      </c>
      <c r="E14" s="16" t="n">
        <v>0</v>
      </c>
      <c r="F14" s="16" t="n">
        <v>1</v>
      </c>
      <c r="G14" s="22" t="str">
        <f aca="false">CHOOSE(B14+1,"▔","─","▁")&amp;CHOOSE(C14+1,"▔","─","▁")&amp;CHOOSE(D14+1,"▔","─","▁")&amp;CHOOSE(E14+1,"▔","─","▁")&amp;CHOOSE(F14+1,"▔","─","▁")</f>
        <v>─▁─▔─</v>
      </c>
    </row>
    <row r="15" customFormat="false" ht="15" hidden="false" customHeight="false" outlineLevel="0" collapsed="false">
      <c r="A15" s="22" t="n">
        <v>12</v>
      </c>
      <c r="B15" s="16" t="n">
        <v>0</v>
      </c>
      <c r="C15" s="16" t="n">
        <v>1</v>
      </c>
      <c r="D15" s="16" t="n">
        <v>1</v>
      </c>
      <c r="E15" s="16" t="n">
        <v>1</v>
      </c>
      <c r="F15" s="16" t="n">
        <v>0</v>
      </c>
      <c r="G15" s="22" t="str">
        <f aca="false">CHOOSE(B15+1,"▔","─","▁")&amp;CHOOSE(C15+1,"▔","─","▁")&amp;CHOOSE(D15+1,"▔","─","▁")&amp;CHOOSE(E15+1,"▔","─","▁")&amp;CHOOSE(F15+1,"▔","─","▁")</f>
        <v>▔───▔</v>
      </c>
    </row>
    <row r="16" customFormat="false" ht="15" hidden="false" customHeight="false" outlineLevel="0" collapsed="false">
      <c r="A16" s="22" t="n">
        <v>13</v>
      </c>
      <c r="B16" s="16" t="n">
        <v>2</v>
      </c>
      <c r="C16" s="16" t="n">
        <v>1</v>
      </c>
      <c r="D16" s="16" t="n">
        <v>1</v>
      </c>
      <c r="E16" s="16" t="n">
        <v>1</v>
      </c>
      <c r="F16" s="16" t="n">
        <v>2</v>
      </c>
      <c r="G16" s="22" t="str">
        <f aca="false">CHOOSE(B16+1,"▔","─","▁")&amp;CHOOSE(C16+1,"▔","─","▁")&amp;CHOOSE(D16+1,"▔","─","▁")&amp;CHOOSE(E16+1,"▔","─","▁")&amp;CHOOSE(F16+1,"▔","─","▁")</f>
        <v>▁───▁</v>
      </c>
    </row>
    <row r="17" customFormat="false" ht="15" hidden="false" customHeight="false" outlineLevel="0" collapsed="false">
      <c r="A17" s="22" t="n">
        <v>14</v>
      </c>
      <c r="B17" s="16" t="n">
        <v>0</v>
      </c>
      <c r="C17" s="16" t="n">
        <v>1</v>
      </c>
      <c r="D17" s="16" t="n">
        <v>0</v>
      </c>
      <c r="E17" s="16" t="n">
        <v>1</v>
      </c>
      <c r="F17" s="16" t="n">
        <v>0</v>
      </c>
      <c r="G17" s="22" t="str">
        <f aca="false">CHOOSE(B17+1,"▔","─","▁")&amp;CHOOSE(C17+1,"▔","─","▁")&amp;CHOOSE(D17+1,"▔","─","▁")&amp;CHOOSE(E17+1,"▔","─","▁")&amp;CHOOSE(F17+1,"▔","─","▁")</f>
        <v>▔─▔─▔</v>
      </c>
    </row>
    <row r="18" customFormat="false" ht="15" hidden="false" customHeight="false" outlineLevel="0" collapsed="false">
      <c r="A18" s="22" t="n">
        <v>15</v>
      </c>
      <c r="B18" s="16" t="n">
        <v>2</v>
      </c>
      <c r="C18" s="16" t="n">
        <v>1</v>
      </c>
      <c r="D18" s="16" t="n">
        <v>2</v>
      </c>
      <c r="E18" s="16" t="n">
        <v>1</v>
      </c>
      <c r="F18" s="16" t="n">
        <v>2</v>
      </c>
      <c r="G18" s="22" t="str">
        <f aca="false">CHOOSE(B18+1,"▔","─","▁")&amp;CHOOSE(C18+1,"▔","─","▁")&amp;CHOOSE(D18+1,"▔","─","▁")&amp;CHOOSE(E18+1,"▔","─","▁")&amp;CHOOSE(F18+1,"▔","─","▁")</f>
        <v>▁─▁─▁</v>
      </c>
    </row>
    <row r="19" customFormat="false" ht="15" hidden="false" customHeight="false" outlineLevel="0" collapsed="false">
      <c r="A19" s="22" t="n">
        <v>16</v>
      </c>
      <c r="B19" s="16" t="n">
        <v>1</v>
      </c>
      <c r="C19" s="16" t="n">
        <v>1</v>
      </c>
      <c r="D19" s="16" t="n">
        <v>0</v>
      </c>
      <c r="E19" s="16" t="n">
        <v>1</v>
      </c>
      <c r="F19" s="16" t="n">
        <v>1</v>
      </c>
      <c r="G19" s="22" t="str">
        <f aca="false">CHOOSE(B19+1,"▔","─","▁")&amp;CHOOSE(C19+1,"▔","─","▁")&amp;CHOOSE(D19+1,"▔","─","▁")&amp;CHOOSE(E19+1,"▔","─","▁")&amp;CHOOSE(F19+1,"▔","─","▁")</f>
        <v>──▔──</v>
      </c>
    </row>
    <row r="20" customFormat="false" ht="15" hidden="false" customHeight="false" outlineLevel="0" collapsed="false">
      <c r="A20" s="22" t="n">
        <v>17</v>
      </c>
      <c r="B20" s="16" t="n">
        <v>1</v>
      </c>
      <c r="C20" s="16" t="n">
        <v>1</v>
      </c>
      <c r="D20" s="16" t="n">
        <v>2</v>
      </c>
      <c r="E20" s="16" t="n">
        <v>1</v>
      </c>
      <c r="F20" s="16" t="n">
        <v>1</v>
      </c>
      <c r="G20" s="22" t="str">
        <f aca="false">CHOOSE(B20+1,"▔","─","▁")&amp;CHOOSE(C20+1,"▔","─","▁")&amp;CHOOSE(D20+1,"▔","─","▁")&amp;CHOOSE(E20+1,"▔","─","▁")&amp;CHOOSE(F20+1,"▔","─","▁")</f>
        <v>──▁──</v>
      </c>
    </row>
    <row r="21" customFormat="false" ht="15" hidden="false" customHeight="false" outlineLevel="0" collapsed="false">
      <c r="A21" s="22" t="n">
        <v>18</v>
      </c>
      <c r="B21" s="16" t="n">
        <v>0</v>
      </c>
      <c r="C21" s="16" t="n">
        <v>0</v>
      </c>
      <c r="D21" s="16" t="n">
        <v>2</v>
      </c>
      <c r="E21" s="16" t="n">
        <v>0</v>
      </c>
      <c r="F21" s="16" t="n">
        <v>0</v>
      </c>
      <c r="G21" s="22" t="str">
        <f aca="false">CHOOSE(B21+1,"▔","─","▁")&amp;CHOOSE(C21+1,"▔","─","▁")&amp;CHOOSE(D21+1,"▔","─","▁")&amp;CHOOSE(E21+1,"▔","─","▁")&amp;CHOOSE(F21+1,"▔","─","▁")</f>
        <v>▔▔▁▔▔</v>
      </c>
    </row>
    <row r="22" customFormat="false" ht="15" hidden="false" customHeight="false" outlineLevel="0" collapsed="false">
      <c r="A22" s="22" t="n">
        <v>19</v>
      </c>
      <c r="B22" s="16" t="n">
        <v>2</v>
      </c>
      <c r="C22" s="16" t="n">
        <v>2</v>
      </c>
      <c r="D22" s="16" t="n">
        <v>0</v>
      </c>
      <c r="E22" s="16" t="n">
        <v>2</v>
      </c>
      <c r="F22" s="16" t="n">
        <v>2</v>
      </c>
      <c r="G22" s="22" t="str">
        <f aca="false">CHOOSE(B22+1,"▔","─","▁")&amp;CHOOSE(C22+1,"▔","─","▁")&amp;CHOOSE(D22+1,"▔","─","▁")&amp;CHOOSE(E22+1,"▔","─","▁")&amp;CHOOSE(F22+1,"▔","─","▁")</f>
        <v>▁▁▔▁▁</v>
      </c>
    </row>
    <row r="23" customFormat="false" ht="15" hidden="false" customHeight="false" outlineLevel="0" collapsed="false">
      <c r="A23" s="22" t="n">
        <v>20</v>
      </c>
      <c r="B23" s="16" t="n">
        <v>0</v>
      </c>
      <c r="C23" s="16" t="n">
        <v>2</v>
      </c>
      <c r="D23" s="16" t="n">
        <v>2</v>
      </c>
      <c r="E23" s="16" t="n">
        <v>2</v>
      </c>
      <c r="F23" s="16" t="n">
        <v>0</v>
      </c>
      <c r="G23" s="22" t="str">
        <f aca="false">CHOOSE(B23+1,"▔","─","▁")&amp;CHOOSE(C23+1,"▔","─","▁")&amp;CHOOSE(D23+1,"▔","─","▁")&amp;CHOOSE(E23+1,"▔","─","▁")&amp;CHOOSE(F23+1,"▔","─","▁")</f>
        <v>▔▁▁▁▔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0"/>
  </cols>
  <sheetData>
    <row r="1" customFormat="false" ht="19.7" hidden="false" customHeight="false" outlineLevel="0" collapsed="false">
      <c r="A1" s="1" t="s">
        <v>167</v>
      </c>
    </row>
    <row r="2" customFormat="false" ht="15" hidden="false" customHeight="false" outlineLevel="0" collapsed="false">
      <c r="A2" s="9" t="s">
        <v>168</v>
      </c>
    </row>
    <row r="4" customFormat="false" ht="15" hidden="false" customHeight="false" outlineLevel="0" collapsed="false">
      <c r="A4" s="5" t="s">
        <v>138</v>
      </c>
      <c r="B4" s="5" t="s">
        <v>155</v>
      </c>
      <c r="C4" s="5" t="s">
        <v>156</v>
      </c>
      <c r="D4" s="5" t="s">
        <v>157</v>
      </c>
      <c r="E4" s="5" t="s">
        <v>158</v>
      </c>
      <c r="F4" s="5" t="s">
        <v>159</v>
      </c>
      <c r="G4" s="5" t="s">
        <v>169</v>
      </c>
    </row>
    <row r="5" customFormat="false" ht="15" hidden="false" customHeight="false" outlineLevel="0" collapsed="false">
      <c r="A5" s="23" t="str">
        <f aca="false">Symbols!A4</f>
        <v>WILD</v>
      </c>
      <c r="B5" s="23" t="n">
        <f aca="false">COUNTIF('Reel Strips'!B$5:B$104,$A5)</f>
        <v>0</v>
      </c>
      <c r="C5" s="23" t="n">
        <f aca="false">COUNTIF('Reel Strips'!C$5:C$104,$A5)</f>
        <v>3</v>
      </c>
      <c r="D5" s="23" t="n">
        <f aca="false">COUNTIF('Reel Strips'!D$5:D$104,$A5)</f>
        <v>5</v>
      </c>
      <c r="E5" s="23" t="n">
        <f aca="false">COUNTIF('Reel Strips'!E$5:E$104,$A5)</f>
        <v>4</v>
      </c>
      <c r="F5" s="23" t="n">
        <f aca="false">COUNTIF('Reel Strips'!F$5:F$104,$A5)</f>
        <v>0</v>
      </c>
      <c r="G5" s="22" t="n">
        <f aca="false">SUM(B5:F5)</f>
        <v>12</v>
      </c>
    </row>
    <row r="6" customFormat="false" ht="15" hidden="false" customHeight="false" outlineLevel="0" collapsed="false">
      <c r="A6" s="23" t="str">
        <f aca="false">Symbols!A5</f>
        <v>SCATTER</v>
      </c>
      <c r="B6" s="23" t="n">
        <f aca="false">COUNTIF('Reel Strips'!B$5:B$104,$A6)</f>
        <v>1</v>
      </c>
      <c r="C6" s="23" t="n">
        <f aca="false">COUNTIF('Reel Strips'!C$5:C$104,$A6)</f>
        <v>2</v>
      </c>
      <c r="D6" s="23" t="n">
        <f aca="false">COUNTIF('Reel Strips'!D$5:D$104,$A6)</f>
        <v>1</v>
      </c>
      <c r="E6" s="23" t="n">
        <f aca="false">COUNTIF('Reel Strips'!E$5:E$104,$A6)</f>
        <v>2</v>
      </c>
      <c r="F6" s="23" t="n">
        <f aca="false">COUNTIF('Reel Strips'!F$5:F$104,$A6)</f>
        <v>1</v>
      </c>
      <c r="G6" s="22" t="n">
        <f aca="false">SUM(B6:F6)</f>
        <v>7</v>
      </c>
    </row>
    <row r="7" customFormat="false" ht="15" hidden="false" customHeight="false" outlineLevel="0" collapsed="false">
      <c r="A7" s="23" t="str">
        <f aca="false">Symbols!A6</f>
        <v>SEVEN</v>
      </c>
      <c r="B7" s="23" t="n">
        <f aca="false">COUNTIF('Reel Strips'!B$5:B$104,$A7)</f>
        <v>2</v>
      </c>
      <c r="C7" s="23" t="n">
        <f aca="false">COUNTIF('Reel Strips'!C$5:C$104,$A7)</f>
        <v>1</v>
      </c>
      <c r="D7" s="23" t="n">
        <f aca="false">COUNTIF('Reel Strips'!D$5:D$104,$A7)</f>
        <v>2</v>
      </c>
      <c r="E7" s="23" t="n">
        <f aca="false">COUNTIF('Reel Strips'!E$5:E$104,$A7)</f>
        <v>2</v>
      </c>
      <c r="F7" s="23" t="n">
        <f aca="false">COUNTIF('Reel Strips'!F$5:F$104,$A7)</f>
        <v>2</v>
      </c>
      <c r="G7" s="22" t="n">
        <f aca="false">SUM(B7:F7)</f>
        <v>9</v>
      </c>
    </row>
    <row r="8" customFormat="false" ht="15" hidden="false" customHeight="false" outlineLevel="0" collapsed="false">
      <c r="A8" s="23" t="str">
        <f aca="false">Symbols!A7</f>
        <v>DIAMOND</v>
      </c>
      <c r="B8" s="23" t="n">
        <f aca="false">COUNTIF('Reel Strips'!B$5:B$104,$A8)</f>
        <v>4</v>
      </c>
      <c r="C8" s="23" t="n">
        <f aca="false">COUNTIF('Reel Strips'!C$5:C$104,$A8)</f>
        <v>3</v>
      </c>
      <c r="D8" s="23" t="n">
        <f aca="false">COUNTIF('Reel Strips'!D$5:D$104,$A8)</f>
        <v>2</v>
      </c>
      <c r="E8" s="23" t="n">
        <f aca="false">COUNTIF('Reel Strips'!E$5:E$104,$A8)</f>
        <v>3</v>
      </c>
      <c r="F8" s="23" t="n">
        <f aca="false">COUNTIF('Reel Strips'!F$5:F$104,$A8)</f>
        <v>3</v>
      </c>
      <c r="G8" s="22" t="n">
        <f aca="false">SUM(B8:F8)</f>
        <v>15</v>
      </c>
    </row>
    <row r="9" customFormat="false" ht="15" hidden="false" customHeight="false" outlineLevel="0" collapsed="false">
      <c r="A9" s="23" t="str">
        <f aca="false">Symbols!A8</f>
        <v>BELL</v>
      </c>
      <c r="B9" s="23" t="n">
        <f aca="false">COUNTIF('Reel Strips'!B$5:B$104,$A9)</f>
        <v>4</v>
      </c>
      <c r="C9" s="23" t="n">
        <f aca="false">COUNTIF('Reel Strips'!C$5:C$104,$A9)</f>
        <v>4</v>
      </c>
      <c r="D9" s="23" t="n">
        <f aca="false">COUNTIF('Reel Strips'!D$5:D$104,$A9)</f>
        <v>3</v>
      </c>
      <c r="E9" s="23" t="n">
        <f aca="false">COUNTIF('Reel Strips'!E$5:E$104,$A9)</f>
        <v>4</v>
      </c>
      <c r="F9" s="23" t="n">
        <f aca="false">COUNTIF('Reel Strips'!F$5:F$104,$A9)</f>
        <v>4</v>
      </c>
      <c r="G9" s="22" t="n">
        <f aca="false">SUM(B9:F9)</f>
        <v>19</v>
      </c>
    </row>
    <row r="10" customFormat="false" ht="15" hidden="false" customHeight="false" outlineLevel="0" collapsed="false">
      <c r="A10" s="23" t="str">
        <f aca="false">Symbols!A9</f>
        <v>CHERRY</v>
      </c>
      <c r="B10" s="23" t="n">
        <f aca="false">COUNTIF('Reel Strips'!B$5:B$104,$A10)</f>
        <v>5</v>
      </c>
      <c r="C10" s="23" t="n">
        <f aca="false">COUNTIF('Reel Strips'!C$5:C$104,$A10)</f>
        <v>4</v>
      </c>
      <c r="D10" s="23" t="n">
        <f aca="false">COUNTIF('Reel Strips'!D$5:D$104,$A10)</f>
        <v>4</v>
      </c>
      <c r="E10" s="23" t="n">
        <f aca="false">COUNTIF('Reel Strips'!E$5:E$104,$A10)</f>
        <v>5</v>
      </c>
      <c r="F10" s="23" t="n">
        <f aca="false">COUNTIF('Reel Strips'!F$5:F$104,$A10)</f>
        <v>5</v>
      </c>
      <c r="G10" s="22" t="n">
        <f aca="false">SUM(B10:F10)</f>
        <v>23</v>
      </c>
    </row>
    <row r="11" customFormat="false" ht="15" hidden="false" customHeight="false" outlineLevel="0" collapsed="false">
      <c r="A11" s="23" t="str">
        <f aca="false">Symbols!A10</f>
        <v>A</v>
      </c>
      <c r="B11" s="23" t="n">
        <f aca="false">COUNTIF('Reel Strips'!B$5:B$104,$A11)</f>
        <v>9</v>
      </c>
      <c r="C11" s="23" t="n">
        <f aca="false">COUNTIF('Reel Strips'!C$5:C$104,$A11)</f>
        <v>6</v>
      </c>
      <c r="D11" s="23" t="n">
        <f aca="false">COUNTIF('Reel Strips'!D$5:D$104,$A11)</f>
        <v>6</v>
      </c>
      <c r="E11" s="23" t="n">
        <f aca="false">COUNTIF('Reel Strips'!E$5:E$104,$A11)</f>
        <v>6</v>
      </c>
      <c r="F11" s="23" t="n">
        <f aca="false">COUNTIF('Reel Strips'!F$5:F$104,$A11)</f>
        <v>7</v>
      </c>
      <c r="G11" s="22" t="n">
        <f aca="false">SUM(B11:F11)</f>
        <v>34</v>
      </c>
    </row>
    <row r="12" customFormat="false" ht="15" hidden="false" customHeight="false" outlineLevel="0" collapsed="false">
      <c r="A12" s="23" t="str">
        <f aca="false">Symbols!A11</f>
        <v>K</v>
      </c>
      <c r="B12" s="23" t="n">
        <f aca="false">COUNTIF('Reel Strips'!B$5:B$104,$A12)</f>
        <v>5</v>
      </c>
      <c r="C12" s="23" t="n">
        <f aca="false">COUNTIF('Reel Strips'!C$5:C$104,$A12)</f>
        <v>6</v>
      </c>
      <c r="D12" s="23" t="n">
        <f aca="false">COUNTIF('Reel Strips'!D$5:D$104,$A12)</f>
        <v>6</v>
      </c>
      <c r="E12" s="23" t="n">
        <f aca="false">COUNTIF('Reel Strips'!E$5:E$104,$A12)</f>
        <v>6</v>
      </c>
      <c r="F12" s="23" t="n">
        <f aca="false">COUNTIF('Reel Strips'!F$5:F$104,$A12)</f>
        <v>6</v>
      </c>
      <c r="G12" s="22" t="n">
        <f aca="false">SUM(B12:F12)</f>
        <v>29</v>
      </c>
    </row>
    <row r="13" customFormat="false" ht="15" hidden="false" customHeight="false" outlineLevel="0" collapsed="false">
      <c r="A13" s="23" t="str">
        <f aca="false">Symbols!A12</f>
        <v>Q</v>
      </c>
      <c r="B13" s="23" t="n">
        <f aca="false">COUNTIF('Reel Strips'!B$5:B$104,$A13)</f>
        <v>7</v>
      </c>
      <c r="C13" s="23" t="n">
        <f aca="false">COUNTIF('Reel Strips'!C$5:C$104,$A13)</f>
        <v>7</v>
      </c>
      <c r="D13" s="23" t="n">
        <f aca="false">COUNTIF('Reel Strips'!D$5:D$104,$A13)</f>
        <v>7</v>
      </c>
      <c r="E13" s="23" t="n">
        <f aca="false">COUNTIF('Reel Strips'!E$5:E$104,$A13)</f>
        <v>6</v>
      </c>
      <c r="F13" s="23" t="n">
        <f aca="false">COUNTIF('Reel Strips'!F$5:F$104,$A13)</f>
        <v>7</v>
      </c>
      <c r="G13" s="22" t="n">
        <f aca="false">SUM(B13:F13)</f>
        <v>34</v>
      </c>
    </row>
    <row r="14" customFormat="false" ht="15" hidden="false" customHeight="false" outlineLevel="0" collapsed="false">
      <c r="A14" s="23" t="str">
        <f aca="false">Symbols!A13</f>
        <v>J</v>
      </c>
      <c r="B14" s="23" t="n">
        <f aca="false">COUNTIF('Reel Strips'!B$5:B$104,$A14)</f>
        <v>7</v>
      </c>
      <c r="C14" s="23" t="n">
        <f aca="false">COUNTIF('Reel Strips'!C$5:C$104,$A14)</f>
        <v>7</v>
      </c>
      <c r="D14" s="23" t="n">
        <f aca="false">COUNTIF('Reel Strips'!D$5:D$104,$A14)</f>
        <v>6</v>
      </c>
      <c r="E14" s="23" t="n">
        <f aca="false">COUNTIF('Reel Strips'!E$5:E$104,$A14)</f>
        <v>7</v>
      </c>
      <c r="F14" s="23" t="n">
        <f aca="false">COUNTIF('Reel Strips'!F$5:F$104,$A14)</f>
        <v>7</v>
      </c>
      <c r="G14" s="22" t="n">
        <f aca="false">SUM(B14:F14)</f>
        <v>34</v>
      </c>
    </row>
    <row r="15" customFormat="false" ht="15" hidden="false" customHeight="false" outlineLevel="0" collapsed="false">
      <c r="A15" s="19" t="s">
        <v>153</v>
      </c>
      <c r="B15" s="20" t="n">
        <f aca="false">SUM(B5:B14)</f>
        <v>44</v>
      </c>
      <c r="C15" s="20" t="n">
        <f aca="false">SUM(C5:C14)</f>
        <v>43</v>
      </c>
      <c r="D15" s="20" t="n">
        <f aca="false">SUM(D5:D14)</f>
        <v>42</v>
      </c>
      <c r="E15" s="20" t="n">
        <f aca="false">SUM(E5:E14)</f>
        <v>45</v>
      </c>
      <c r="F15" s="20" t="n">
        <f aca="false">SUM(F5:F14)</f>
        <v>42</v>
      </c>
      <c r="G15" s="20" t="n">
        <f aca="false">SUM(G5:G14)</f>
        <v>216</v>
      </c>
    </row>
    <row r="16" customFormat="false" ht="15" hidden="false" customHeight="false" outlineLevel="0" collapsed="false">
      <c r="A16" s="10" t="s">
        <v>170</v>
      </c>
      <c r="B16" s="23" t="str">
        <f aca="false">IF(B15='Reel Strips'!B3,"OK","Unknown symbol")</f>
        <v>OK</v>
      </c>
      <c r="C16" s="23" t="str">
        <f aca="false">IF(C15='Reel Strips'!C3,"OK","Unknown symbol")</f>
        <v>OK</v>
      </c>
      <c r="D16" s="23" t="str">
        <f aca="false">IF(D15='Reel Strips'!D3,"OK","Unknown symbol")</f>
        <v>OK</v>
      </c>
      <c r="E16" s="23" t="str">
        <f aca="false">IF(E15='Reel Strips'!E3,"OK","Unknown symbol")</f>
        <v>OK</v>
      </c>
      <c r="F16" s="23" t="str">
        <f aca="false">IF(F15='Reel Strips'!F3,"OK","Unknown symbol")</f>
        <v>OK</v>
      </c>
    </row>
    <row r="17" customFormat="false" ht="15" hidden="false" customHeight="false" outlineLevel="0" collapsed="false">
      <c r="A17" s="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8" min="2" style="0" width="11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9" t="s">
        <v>173</v>
      </c>
    </row>
    <row r="3" customFormat="false" ht="15" hidden="false" customHeight="false" outlineLevel="0" collapsed="false">
      <c r="A3" s="19" t="s">
        <v>153</v>
      </c>
      <c r="B3" s="24" t="n">
        <f aca="false">'Symbol Counts'!B15</f>
        <v>44</v>
      </c>
      <c r="C3" s="24" t="n">
        <f aca="false">'Symbol Counts'!C15</f>
        <v>43</v>
      </c>
      <c r="D3" s="24" t="n">
        <f aca="false">'Symbol Counts'!D15</f>
        <v>42</v>
      </c>
      <c r="E3" s="24" t="n">
        <f aca="false">'Symbol Counts'!E15</f>
        <v>45</v>
      </c>
      <c r="F3" s="24" t="n">
        <f aca="false">'Symbol Counts'!F15</f>
        <v>42</v>
      </c>
    </row>
    <row r="4" customFormat="false" ht="15" hidden="false" customHeight="false" outlineLevel="0" collapsed="false">
      <c r="A4" s="19" t="s">
        <v>174</v>
      </c>
      <c r="B4" s="24" t="n">
        <f aca="false">INDEX('Symbol Counts'!B$5:B$14,MATCH('Base Parameters'!$B$14,'Symbol Counts'!$A$5:$A$14,0))</f>
        <v>0</v>
      </c>
      <c r="C4" s="24" t="n">
        <f aca="false">INDEX('Symbol Counts'!C$5:C$14,MATCH('Base Parameters'!$B$14,'Symbol Counts'!$A$5:$A$14,0))</f>
        <v>3</v>
      </c>
      <c r="D4" s="24" t="n">
        <f aca="false">INDEX('Symbol Counts'!D$5:D$14,MATCH('Base Parameters'!$B$14,'Symbol Counts'!$A$5:$A$14,0))</f>
        <v>5</v>
      </c>
      <c r="E4" s="24" t="n">
        <f aca="false">INDEX('Symbol Counts'!E$5:E$14,MATCH('Base Parameters'!$B$14,'Symbol Counts'!$A$5:$A$14,0))</f>
        <v>4</v>
      </c>
      <c r="F4" s="24" t="n">
        <f aca="false">INDEX('Symbol Counts'!F$5:F$14,MATCH('Base Parameters'!$B$14,'Symbol Counts'!$A$5:$A$14,0))</f>
        <v>0</v>
      </c>
    </row>
    <row r="5" customFormat="false" ht="15" hidden="false" customHeight="true" outlineLevel="0" collapsed="false">
      <c r="B5" s="25" t="s">
        <v>175</v>
      </c>
      <c r="C5" s="25"/>
      <c r="D5" s="25"/>
      <c r="E5" s="25"/>
      <c r="F5" s="25"/>
      <c r="G5" s="25" t="s">
        <v>176</v>
      </c>
      <c r="H5" s="25"/>
      <c r="I5" s="25"/>
      <c r="J5" s="25"/>
      <c r="K5" s="25"/>
      <c r="L5" s="25" t="s">
        <v>177</v>
      </c>
      <c r="M5" s="25"/>
      <c r="N5" s="25"/>
      <c r="O5" s="25"/>
      <c r="P5" s="25"/>
      <c r="Q5" s="25" t="s">
        <v>178</v>
      </c>
      <c r="R5" s="25"/>
      <c r="S5" s="25"/>
      <c r="T5" s="25"/>
      <c r="U5" s="25"/>
      <c r="V5" s="25" t="s">
        <v>179</v>
      </c>
      <c r="W5" s="25"/>
      <c r="X5" s="25"/>
      <c r="Y5" s="25"/>
      <c r="Z5" s="25"/>
    </row>
    <row r="6" customFormat="false" ht="23.85" hidden="false" customHeight="false" outlineLevel="0" collapsed="false">
      <c r="A6" s="5" t="s">
        <v>138</v>
      </c>
      <c r="B6" s="5" t="s">
        <v>180</v>
      </c>
      <c r="C6" s="5" t="s">
        <v>181</v>
      </c>
      <c r="D6" s="5" t="s">
        <v>182</v>
      </c>
      <c r="E6" s="5" t="s">
        <v>183</v>
      </c>
      <c r="F6" s="5" t="s">
        <v>184</v>
      </c>
      <c r="G6" s="5" t="s">
        <v>185</v>
      </c>
      <c r="H6" s="5" t="s">
        <v>186</v>
      </c>
      <c r="I6" s="5" t="s">
        <v>187</v>
      </c>
      <c r="J6" s="5" t="s">
        <v>188</v>
      </c>
      <c r="K6" s="5" t="s">
        <v>189</v>
      </c>
      <c r="L6" s="5" t="n">
        <f aca="false">1</f>
        <v>1</v>
      </c>
      <c r="M6" s="5" t="n">
        <f aca="false">2</f>
        <v>2</v>
      </c>
      <c r="N6" s="5" t="n">
        <f aca="false">3</f>
        <v>3</v>
      </c>
      <c r="O6" s="5" t="n">
        <f aca="false">4</f>
        <v>4</v>
      </c>
      <c r="P6" s="5" t="n">
        <f aca="false">5</f>
        <v>5</v>
      </c>
      <c r="Q6" s="5" t="s">
        <v>190</v>
      </c>
      <c r="R6" s="5" t="s">
        <v>191</v>
      </c>
      <c r="S6" s="5" t="s">
        <v>192</v>
      </c>
      <c r="T6" s="5" t="s">
        <v>193</v>
      </c>
      <c r="U6" s="5" t="s">
        <v>194</v>
      </c>
      <c r="V6" s="5" t="s">
        <v>190</v>
      </c>
      <c r="W6" s="5" t="s">
        <v>191</v>
      </c>
      <c r="X6" s="5" t="s">
        <v>192</v>
      </c>
      <c r="Y6" s="5" t="s">
        <v>193</v>
      </c>
      <c r="Z6" s="5" t="s">
        <v>194</v>
      </c>
      <c r="AA6" s="5" t="s">
        <v>195</v>
      </c>
      <c r="AB6" s="5" t="s">
        <v>196</v>
      </c>
    </row>
    <row r="7" customFormat="false" ht="15" hidden="false" customHeight="false" outlineLevel="0" collapsed="false">
      <c r="A7" s="23" t="str">
        <f aca="false">Paytable!A5</f>
        <v>SEVEN</v>
      </c>
      <c r="B7" s="23" t="n">
        <f aca="false">INDEX('Symbol Counts'!B$5:B$14,MATCH($A7,'Symbol Counts'!$A$5:$A$14,0))</f>
        <v>2</v>
      </c>
      <c r="C7" s="23" t="n">
        <f aca="false">INDEX('Symbol Counts'!C$5:C$14,MATCH($A7,'Symbol Counts'!$A$5:$A$14,0))+C$4</f>
        <v>4</v>
      </c>
      <c r="D7" s="23" t="n">
        <f aca="false">INDEX('Symbol Counts'!D$5:D$14,MATCH($A7,'Symbol Counts'!$A$5:$A$14,0))+D$4</f>
        <v>7</v>
      </c>
      <c r="E7" s="23" t="n">
        <f aca="false">INDEX('Symbol Counts'!E$5:E$14,MATCH($A7,'Symbol Counts'!$A$5:$A$14,0))+E$4</f>
        <v>6</v>
      </c>
      <c r="F7" s="23" t="n">
        <f aca="false">INDEX('Symbol Counts'!F$5:F$14,MATCH($A7,'Symbol Counts'!$A$5:$A$14,0))+F$4</f>
        <v>2</v>
      </c>
      <c r="G7" s="26" t="n">
        <f aca="false">B7/B$3</f>
        <v>0.0454545454545455</v>
      </c>
      <c r="H7" s="26" t="n">
        <f aca="false">G7*C7/C$3</f>
        <v>0.00422832980972516</v>
      </c>
      <c r="I7" s="26" t="n">
        <f aca="false">H7*D7/D$3</f>
        <v>0.000704721634954193</v>
      </c>
      <c r="J7" s="26" t="n">
        <f aca="false">I7*E7/E$3</f>
        <v>9.39628846605591E-005</v>
      </c>
      <c r="K7" s="26" t="n">
        <f aca="false">J7*F7/F$3</f>
        <v>4.47442307907424E-006</v>
      </c>
      <c r="L7" s="26" t="n">
        <f aca="false">G7-H7</f>
        <v>0.0412262156448203</v>
      </c>
      <c r="M7" s="26" t="n">
        <f aca="false">H7-I7</f>
        <v>0.00352360817477097</v>
      </c>
      <c r="N7" s="26" t="n">
        <f aca="false">I7-J7</f>
        <v>0.000610758750293634</v>
      </c>
      <c r="O7" s="26" t="n">
        <f aca="false">J7-K7</f>
        <v>8.94884615814849E-005</v>
      </c>
      <c r="P7" s="26" t="n">
        <f aca="false">K7</f>
        <v>4.47442307907424E-006</v>
      </c>
      <c r="Q7" s="27" t="n">
        <f aca="false">INDEX(Paytable!B$5:B$12,MATCH($A7,Paytable!$A$5:$A$12,0))</f>
        <v>0</v>
      </c>
      <c r="R7" s="27" t="n">
        <f aca="false">INDEX(Paytable!C$5:C$12,MATCH($A7,Paytable!$A$5:$A$12,0))</f>
        <v>2</v>
      </c>
      <c r="S7" s="27" t="n">
        <f aca="false">INDEX(Paytable!D$5:D$12,MATCH($A7,Paytable!$A$5:$A$12,0))</f>
        <v>50</v>
      </c>
      <c r="T7" s="27" t="n">
        <f aca="false">INDEX(Paytable!E$5:E$12,MATCH($A7,Paytable!$A$5:$A$12,0))</f>
        <v>200</v>
      </c>
      <c r="U7" s="27" t="n">
        <f aca="false">INDEX(Paytable!F$5:F$12,MATCH($A7,Paytable!$A$5:$A$12,0))</f>
        <v>1000</v>
      </c>
      <c r="V7" s="26" t="n">
        <f aca="false">L7*Q7</f>
        <v>0</v>
      </c>
      <c r="W7" s="26" t="n">
        <f aca="false">M7*R7</f>
        <v>0.00704721634954193</v>
      </c>
      <c r="X7" s="26" t="n">
        <f aca="false">N7*S7</f>
        <v>0.0305379375146817</v>
      </c>
      <c r="Y7" s="26" t="n">
        <f aca="false">O7*T7</f>
        <v>0.017897692316297</v>
      </c>
      <c r="Z7" s="26" t="n">
        <f aca="false">P7*U7</f>
        <v>0.00447442307907424</v>
      </c>
      <c r="AA7" s="28" t="n">
        <f aca="false">SUM(V7:Z7)</f>
        <v>0.0599572692595949</v>
      </c>
      <c r="AB7" s="29" t="n">
        <f aca="false">SUMPRODUCT(L7:P7*(Q7:U7&gt;0))</f>
        <v>0.00422832980972516</v>
      </c>
    </row>
    <row r="8" customFormat="false" ht="15" hidden="false" customHeight="false" outlineLevel="0" collapsed="false">
      <c r="A8" s="23" t="str">
        <f aca="false">Paytable!A6</f>
        <v>DIAMOND</v>
      </c>
      <c r="B8" s="23" t="n">
        <f aca="false">INDEX('Symbol Counts'!B$5:B$14,MATCH($A8,'Symbol Counts'!$A$5:$A$14,0))</f>
        <v>4</v>
      </c>
      <c r="C8" s="23" t="n">
        <f aca="false">INDEX('Symbol Counts'!C$5:C$14,MATCH($A8,'Symbol Counts'!$A$5:$A$14,0))+C$4</f>
        <v>6</v>
      </c>
      <c r="D8" s="23" t="n">
        <f aca="false">INDEX('Symbol Counts'!D$5:D$14,MATCH($A8,'Symbol Counts'!$A$5:$A$14,0))+D$4</f>
        <v>7</v>
      </c>
      <c r="E8" s="23" t="n">
        <f aca="false">INDEX('Symbol Counts'!E$5:E$14,MATCH($A8,'Symbol Counts'!$A$5:$A$14,0))+E$4</f>
        <v>7</v>
      </c>
      <c r="F8" s="23" t="n">
        <f aca="false">INDEX('Symbol Counts'!F$5:F$14,MATCH($A8,'Symbol Counts'!$A$5:$A$14,0))+F$4</f>
        <v>3</v>
      </c>
      <c r="G8" s="26" t="n">
        <f aca="false">B8/B$3</f>
        <v>0.0909090909090909</v>
      </c>
      <c r="H8" s="26" t="n">
        <f aca="false">G8*C8/C$3</f>
        <v>0.0126849894291755</v>
      </c>
      <c r="I8" s="26" t="n">
        <f aca="false">H8*D8/D$3</f>
        <v>0.00211416490486258</v>
      </c>
      <c r="J8" s="26" t="n">
        <f aca="false">I8*E8/E$3</f>
        <v>0.000328870096311957</v>
      </c>
      <c r="K8" s="26" t="n">
        <f aca="false">J8*F8/F$3</f>
        <v>2.34907211651398E-005</v>
      </c>
      <c r="L8" s="26" t="n">
        <f aca="false">G8-H8</f>
        <v>0.0782241014799154</v>
      </c>
      <c r="M8" s="26" t="n">
        <f aca="false">H8-I8</f>
        <v>0.0105708245243129</v>
      </c>
      <c r="N8" s="26" t="n">
        <f aca="false">I8-J8</f>
        <v>0.00178529480855062</v>
      </c>
      <c r="O8" s="26" t="n">
        <f aca="false">J8-K8</f>
        <v>0.000305379375146817</v>
      </c>
      <c r="P8" s="26" t="n">
        <f aca="false">K8</f>
        <v>2.34907211651398E-005</v>
      </c>
      <c r="Q8" s="27" t="n">
        <f aca="false">INDEX(Paytable!B$5:B$12,MATCH($A8,Paytable!$A$5:$A$12,0))</f>
        <v>0</v>
      </c>
      <c r="R8" s="27" t="n">
        <f aca="false">INDEX(Paytable!C$5:C$12,MATCH($A8,Paytable!$A$5:$A$12,0))</f>
        <v>0</v>
      </c>
      <c r="S8" s="27" t="n">
        <f aca="false">INDEX(Paytable!D$5:D$12,MATCH($A8,Paytable!$A$5:$A$12,0))</f>
        <v>30</v>
      </c>
      <c r="T8" s="27" t="n">
        <f aca="false">INDEX(Paytable!E$5:E$12,MATCH($A8,Paytable!$A$5:$A$12,0))</f>
        <v>100</v>
      </c>
      <c r="U8" s="27" t="n">
        <f aca="false">INDEX(Paytable!F$5:F$12,MATCH($A8,Paytable!$A$5:$A$12,0))</f>
        <v>500</v>
      </c>
      <c r="V8" s="26" t="n">
        <f aca="false">L8*Q8</f>
        <v>0</v>
      </c>
      <c r="W8" s="26" t="n">
        <f aca="false">M8*R8</f>
        <v>0</v>
      </c>
      <c r="X8" s="26" t="n">
        <f aca="false">N8*S8</f>
        <v>0.0535588442565187</v>
      </c>
      <c r="Y8" s="26" t="n">
        <f aca="false">O8*T8</f>
        <v>0.0305379375146817</v>
      </c>
      <c r="Z8" s="26" t="n">
        <f aca="false">P8*U8</f>
        <v>0.0117453605825699</v>
      </c>
      <c r="AA8" s="28" t="n">
        <f aca="false">SUM(V8:Z8)</f>
        <v>0.0958421423537702</v>
      </c>
      <c r="AB8" s="29" t="n">
        <f aca="false">SUMPRODUCT(L8:P8*(Q8:U8&gt;0))</f>
        <v>0.00211416490486258</v>
      </c>
    </row>
    <row r="9" customFormat="false" ht="15" hidden="false" customHeight="false" outlineLevel="0" collapsed="false">
      <c r="A9" s="23" t="str">
        <f aca="false">Paytable!A7</f>
        <v>BELL</v>
      </c>
      <c r="B9" s="23" t="n">
        <f aca="false">INDEX('Symbol Counts'!B$5:B$14,MATCH($A9,'Symbol Counts'!$A$5:$A$14,0))</f>
        <v>4</v>
      </c>
      <c r="C9" s="23" t="n">
        <f aca="false">INDEX('Symbol Counts'!C$5:C$14,MATCH($A9,'Symbol Counts'!$A$5:$A$14,0))+C$4</f>
        <v>7</v>
      </c>
      <c r="D9" s="23" t="n">
        <f aca="false">INDEX('Symbol Counts'!D$5:D$14,MATCH($A9,'Symbol Counts'!$A$5:$A$14,0))+D$4</f>
        <v>8</v>
      </c>
      <c r="E9" s="23" t="n">
        <f aca="false">INDEX('Symbol Counts'!E$5:E$14,MATCH($A9,'Symbol Counts'!$A$5:$A$14,0))+E$4</f>
        <v>8</v>
      </c>
      <c r="F9" s="23" t="n">
        <f aca="false">INDEX('Symbol Counts'!F$5:F$14,MATCH($A9,'Symbol Counts'!$A$5:$A$14,0))+F$4</f>
        <v>4</v>
      </c>
      <c r="G9" s="26" t="n">
        <f aca="false">B9/B$3</f>
        <v>0.0909090909090909</v>
      </c>
      <c r="H9" s="26" t="n">
        <f aca="false">G9*C9/C$3</f>
        <v>0.0147991543340381</v>
      </c>
      <c r="I9" s="26" t="n">
        <f aca="false">H9*D9/D$3</f>
        <v>0.00281888653981677</v>
      </c>
      <c r="J9" s="26" t="n">
        <f aca="false">I9*E9/E$3</f>
        <v>0.000501135384856315</v>
      </c>
      <c r="K9" s="26" t="n">
        <f aca="false">J9*F9/F$3</f>
        <v>4.77271795101252E-005</v>
      </c>
      <c r="L9" s="26" t="n">
        <f aca="false">G9-H9</f>
        <v>0.0761099365750529</v>
      </c>
      <c r="M9" s="26" t="n">
        <f aca="false">H9-I9</f>
        <v>0.0119802677942213</v>
      </c>
      <c r="N9" s="26" t="n">
        <f aca="false">I9-J9</f>
        <v>0.00231775115496046</v>
      </c>
      <c r="O9" s="26" t="n">
        <f aca="false">J9-K9</f>
        <v>0.00045340820534619</v>
      </c>
      <c r="P9" s="26" t="n">
        <f aca="false">K9</f>
        <v>4.77271795101252E-005</v>
      </c>
      <c r="Q9" s="27" t="n">
        <f aca="false">INDEX(Paytable!B$5:B$12,MATCH($A9,Paytable!$A$5:$A$12,0))</f>
        <v>0</v>
      </c>
      <c r="R9" s="27" t="n">
        <f aca="false">INDEX(Paytable!C$5:C$12,MATCH($A9,Paytable!$A$5:$A$12,0))</f>
        <v>0</v>
      </c>
      <c r="S9" s="27" t="n">
        <f aca="false">INDEX(Paytable!D$5:D$12,MATCH($A9,Paytable!$A$5:$A$12,0))</f>
        <v>20</v>
      </c>
      <c r="T9" s="27" t="n">
        <f aca="false">INDEX(Paytable!E$5:E$12,MATCH($A9,Paytable!$A$5:$A$12,0))</f>
        <v>60</v>
      </c>
      <c r="U9" s="27" t="n">
        <f aca="false">INDEX(Paytable!F$5:F$12,MATCH($A9,Paytable!$A$5:$A$12,0))</f>
        <v>250</v>
      </c>
      <c r="V9" s="26" t="n">
        <f aca="false">L9*Q9</f>
        <v>0</v>
      </c>
      <c r="W9" s="26" t="n">
        <f aca="false">M9*R9</f>
        <v>0</v>
      </c>
      <c r="X9" s="26" t="n">
        <f aca="false">N9*S9</f>
        <v>0.0463550230992091</v>
      </c>
      <c r="Y9" s="26" t="n">
        <f aca="false">O9*T9</f>
        <v>0.0272044923207714</v>
      </c>
      <c r="Z9" s="26" t="n">
        <f aca="false">P9*U9</f>
        <v>0.0119317948775313</v>
      </c>
      <c r="AA9" s="28" t="n">
        <f aca="false">SUM(V9:Z9)</f>
        <v>0.0854913102975118</v>
      </c>
      <c r="AB9" s="29" t="n">
        <f aca="false">SUMPRODUCT(L9:P9*(Q9:U9&gt;0))</f>
        <v>0.00281888653981677</v>
      </c>
    </row>
    <row r="10" customFormat="false" ht="15" hidden="false" customHeight="false" outlineLevel="0" collapsed="false">
      <c r="A10" s="23" t="str">
        <f aca="false">Paytable!A8</f>
        <v>CHERRY</v>
      </c>
      <c r="B10" s="23" t="n">
        <f aca="false">INDEX('Symbol Counts'!B$5:B$14,MATCH($A10,'Symbol Counts'!$A$5:$A$14,0))</f>
        <v>5</v>
      </c>
      <c r="C10" s="23" t="n">
        <f aca="false">INDEX('Symbol Counts'!C$5:C$14,MATCH($A10,'Symbol Counts'!$A$5:$A$14,0))+C$4</f>
        <v>7</v>
      </c>
      <c r="D10" s="23" t="n">
        <f aca="false">INDEX('Symbol Counts'!D$5:D$14,MATCH($A10,'Symbol Counts'!$A$5:$A$14,0))+D$4</f>
        <v>9</v>
      </c>
      <c r="E10" s="23" t="n">
        <f aca="false">INDEX('Symbol Counts'!E$5:E$14,MATCH($A10,'Symbol Counts'!$A$5:$A$14,0))+E$4</f>
        <v>9</v>
      </c>
      <c r="F10" s="23" t="n">
        <f aca="false">INDEX('Symbol Counts'!F$5:F$14,MATCH($A10,'Symbol Counts'!$A$5:$A$14,0))+F$4</f>
        <v>5</v>
      </c>
      <c r="G10" s="26" t="n">
        <f aca="false">B10/B$3</f>
        <v>0.113636363636364</v>
      </c>
      <c r="H10" s="26" t="n">
        <f aca="false">G10*C10/C$3</f>
        <v>0.0184989429175476</v>
      </c>
      <c r="I10" s="26" t="n">
        <f aca="false">H10*D10/D$3</f>
        <v>0.00396405919661734</v>
      </c>
      <c r="J10" s="26" t="n">
        <f aca="false">I10*E10/E$3</f>
        <v>0.000792811839323467</v>
      </c>
      <c r="K10" s="26" t="n">
        <f aca="false">J10*F10/F$3</f>
        <v>9.43823618242223E-005</v>
      </c>
      <c r="L10" s="26" t="n">
        <f aca="false">G10-H10</f>
        <v>0.0951374207188161</v>
      </c>
      <c r="M10" s="26" t="n">
        <f aca="false">H10-I10</f>
        <v>0.0145348837209302</v>
      </c>
      <c r="N10" s="26" t="n">
        <f aca="false">I10-J10</f>
        <v>0.00317124735729387</v>
      </c>
      <c r="O10" s="26" t="n">
        <f aca="false">J10-K10</f>
        <v>0.000698429477499245</v>
      </c>
      <c r="P10" s="26" t="n">
        <f aca="false">K10</f>
        <v>9.43823618242223E-005</v>
      </c>
      <c r="Q10" s="27" t="n">
        <f aca="false">INDEX(Paytable!B$5:B$12,MATCH($A10,Paytable!$A$5:$A$12,0))</f>
        <v>0</v>
      </c>
      <c r="R10" s="27" t="n">
        <f aca="false">INDEX(Paytable!C$5:C$12,MATCH($A10,Paytable!$A$5:$A$12,0))</f>
        <v>0</v>
      </c>
      <c r="S10" s="27" t="n">
        <f aca="false">INDEX(Paytable!D$5:D$12,MATCH($A10,Paytable!$A$5:$A$12,0))</f>
        <v>15</v>
      </c>
      <c r="T10" s="27" t="n">
        <f aca="false">INDEX(Paytable!E$5:E$12,MATCH($A10,Paytable!$A$5:$A$12,0))</f>
        <v>40</v>
      </c>
      <c r="U10" s="27" t="n">
        <f aca="false">INDEX(Paytable!F$5:F$12,MATCH($A10,Paytable!$A$5:$A$12,0))</f>
        <v>150</v>
      </c>
      <c r="V10" s="26" t="n">
        <f aca="false">L10*Q10</f>
        <v>0</v>
      </c>
      <c r="W10" s="26" t="n">
        <f aca="false">M10*R10</f>
        <v>0</v>
      </c>
      <c r="X10" s="26" t="n">
        <f aca="false">N10*S10</f>
        <v>0.047568710359408</v>
      </c>
      <c r="Y10" s="26" t="n">
        <f aca="false">O10*T10</f>
        <v>0.0279371790999698</v>
      </c>
      <c r="Z10" s="26" t="n">
        <f aca="false">P10*U10</f>
        <v>0.0141573542736333</v>
      </c>
      <c r="AA10" s="28" t="n">
        <f aca="false">SUM(V10:Z10)</f>
        <v>0.0896632437330111</v>
      </c>
      <c r="AB10" s="29" t="n">
        <f aca="false">SUMPRODUCT(L10:P10*(Q10:U10&gt;0))</f>
        <v>0.00396405919661734</v>
      </c>
    </row>
    <row r="11" customFormat="false" ht="15" hidden="false" customHeight="false" outlineLevel="0" collapsed="false">
      <c r="A11" s="23" t="str">
        <f aca="false">Paytable!A9</f>
        <v>A</v>
      </c>
      <c r="B11" s="23" t="n">
        <f aca="false">INDEX('Symbol Counts'!B$5:B$14,MATCH($A11,'Symbol Counts'!$A$5:$A$14,0))</f>
        <v>9</v>
      </c>
      <c r="C11" s="23" t="n">
        <f aca="false">INDEX('Symbol Counts'!C$5:C$14,MATCH($A11,'Symbol Counts'!$A$5:$A$14,0))+C$4</f>
        <v>9</v>
      </c>
      <c r="D11" s="23" t="n">
        <f aca="false">INDEX('Symbol Counts'!D$5:D$14,MATCH($A11,'Symbol Counts'!$A$5:$A$14,0))+D$4</f>
        <v>11</v>
      </c>
      <c r="E11" s="23" t="n">
        <f aca="false">INDEX('Symbol Counts'!E$5:E$14,MATCH($A11,'Symbol Counts'!$A$5:$A$14,0))+E$4</f>
        <v>10</v>
      </c>
      <c r="F11" s="23" t="n">
        <f aca="false">INDEX('Symbol Counts'!F$5:F$14,MATCH($A11,'Symbol Counts'!$A$5:$A$14,0))+F$4</f>
        <v>7</v>
      </c>
      <c r="G11" s="26" t="n">
        <f aca="false">B11/B$3</f>
        <v>0.204545454545455</v>
      </c>
      <c r="H11" s="26" t="n">
        <f aca="false">G11*C11/C$3</f>
        <v>0.0428118393234672</v>
      </c>
      <c r="I11" s="26" t="n">
        <f aca="false">H11*D11/D$3</f>
        <v>0.0112126245847176</v>
      </c>
      <c r="J11" s="26" t="n">
        <f aca="false">I11*E11/E$3</f>
        <v>0.00249169435215947</v>
      </c>
      <c r="K11" s="26" t="n">
        <f aca="false">J11*F11/F$3</f>
        <v>0.000415282392026578</v>
      </c>
      <c r="L11" s="26" t="n">
        <f aca="false">G11-H11</f>
        <v>0.161733615221987</v>
      </c>
      <c r="M11" s="26" t="n">
        <f aca="false">H11-I11</f>
        <v>0.0315992147387496</v>
      </c>
      <c r="N11" s="26" t="n">
        <f aca="false">I11-J11</f>
        <v>0.00872093023255814</v>
      </c>
      <c r="O11" s="26" t="n">
        <f aca="false">J11-K11</f>
        <v>0.00207641196013289</v>
      </c>
      <c r="P11" s="26" t="n">
        <f aca="false">K11</f>
        <v>0.000415282392026578</v>
      </c>
      <c r="Q11" s="27" t="n">
        <f aca="false">INDEX(Paytable!B$5:B$12,MATCH($A11,Paytable!$A$5:$A$12,0))</f>
        <v>0</v>
      </c>
      <c r="R11" s="27" t="n">
        <f aca="false">INDEX(Paytable!C$5:C$12,MATCH($A11,Paytable!$A$5:$A$12,0))</f>
        <v>0</v>
      </c>
      <c r="S11" s="27" t="n">
        <f aca="false">INDEX(Paytable!D$5:D$12,MATCH($A11,Paytable!$A$5:$A$12,0))</f>
        <v>10</v>
      </c>
      <c r="T11" s="27" t="n">
        <f aca="false">INDEX(Paytable!E$5:E$12,MATCH($A11,Paytable!$A$5:$A$12,0))</f>
        <v>25</v>
      </c>
      <c r="U11" s="27" t="n">
        <f aca="false">INDEX(Paytable!F$5:F$12,MATCH($A11,Paytable!$A$5:$A$12,0))</f>
        <v>100</v>
      </c>
      <c r="V11" s="26" t="n">
        <f aca="false">L11*Q11</f>
        <v>0</v>
      </c>
      <c r="W11" s="26" t="n">
        <f aca="false">M11*R11</f>
        <v>0</v>
      </c>
      <c r="X11" s="26" t="n">
        <f aca="false">N11*S11</f>
        <v>0.0872093023255814</v>
      </c>
      <c r="Y11" s="26" t="n">
        <f aca="false">O11*T11</f>
        <v>0.0519102990033223</v>
      </c>
      <c r="Z11" s="26" t="n">
        <f aca="false">P11*U11</f>
        <v>0.0415282392026578</v>
      </c>
      <c r="AA11" s="28" t="n">
        <f aca="false">SUM(V11:Z11)</f>
        <v>0.180647840531561</v>
      </c>
      <c r="AB11" s="29" t="n">
        <f aca="false">SUMPRODUCT(L11:P11*(Q11:U11&gt;0))</f>
        <v>0.0112126245847176</v>
      </c>
    </row>
    <row r="12" customFormat="false" ht="15" hidden="false" customHeight="false" outlineLevel="0" collapsed="false">
      <c r="A12" s="23" t="str">
        <f aca="false">Paytable!A10</f>
        <v>K</v>
      </c>
      <c r="B12" s="23" t="n">
        <f aca="false">INDEX('Symbol Counts'!B$5:B$14,MATCH($A12,'Symbol Counts'!$A$5:$A$14,0))</f>
        <v>5</v>
      </c>
      <c r="C12" s="23" t="n">
        <f aca="false">INDEX('Symbol Counts'!C$5:C$14,MATCH($A12,'Symbol Counts'!$A$5:$A$14,0))+C$4</f>
        <v>9</v>
      </c>
      <c r="D12" s="23" t="n">
        <f aca="false">INDEX('Symbol Counts'!D$5:D$14,MATCH($A12,'Symbol Counts'!$A$5:$A$14,0))+D$4</f>
        <v>11</v>
      </c>
      <c r="E12" s="23" t="n">
        <f aca="false">INDEX('Symbol Counts'!E$5:E$14,MATCH($A12,'Symbol Counts'!$A$5:$A$14,0))+E$4</f>
        <v>10</v>
      </c>
      <c r="F12" s="23" t="n">
        <f aca="false">INDEX('Symbol Counts'!F$5:F$14,MATCH($A12,'Symbol Counts'!$A$5:$A$14,0))+F$4</f>
        <v>6</v>
      </c>
      <c r="G12" s="26" t="n">
        <f aca="false">B12/B$3</f>
        <v>0.113636363636364</v>
      </c>
      <c r="H12" s="26" t="n">
        <f aca="false">G12*C12/C$3</f>
        <v>0.023784355179704</v>
      </c>
      <c r="I12" s="26" t="n">
        <f aca="false">H12*D12/D$3</f>
        <v>0.00622923588039867</v>
      </c>
      <c r="J12" s="26" t="n">
        <f aca="false">I12*E12/E$3</f>
        <v>0.00138427464008859</v>
      </c>
      <c r="K12" s="26" t="n">
        <f aca="false">J12*F12/F$3</f>
        <v>0.000197753520012656</v>
      </c>
      <c r="L12" s="26" t="n">
        <f aca="false">G12-H12</f>
        <v>0.0898520084566596</v>
      </c>
      <c r="M12" s="26" t="n">
        <f aca="false">H12-I12</f>
        <v>0.0175551192993053</v>
      </c>
      <c r="N12" s="26" t="n">
        <f aca="false">I12-J12</f>
        <v>0.00484496124031008</v>
      </c>
      <c r="O12" s="26" t="n">
        <f aca="false">J12-K12</f>
        <v>0.00118652112007594</v>
      </c>
      <c r="P12" s="26" t="n">
        <f aca="false">K12</f>
        <v>0.000197753520012656</v>
      </c>
      <c r="Q12" s="27" t="n">
        <f aca="false">INDEX(Paytable!B$5:B$12,MATCH($A12,Paytable!$A$5:$A$12,0))</f>
        <v>0</v>
      </c>
      <c r="R12" s="27" t="n">
        <f aca="false">INDEX(Paytable!C$5:C$12,MATCH($A12,Paytable!$A$5:$A$12,0))</f>
        <v>0</v>
      </c>
      <c r="S12" s="27" t="n">
        <f aca="false">INDEX(Paytable!D$5:D$12,MATCH($A12,Paytable!$A$5:$A$12,0))</f>
        <v>8</v>
      </c>
      <c r="T12" s="27" t="n">
        <f aca="false">INDEX(Paytable!E$5:E$12,MATCH($A12,Paytable!$A$5:$A$12,0))</f>
        <v>20</v>
      </c>
      <c r="U12" s="27" t="n">
        <f aca="false">INDEX(Paytable!F$5:F$12,MATCH($A12,Paytable!$A$5:$A$12,0))</f>
        <v>80</v>
      </c>
      <c r="V12" s="26" t="n">
        <f aca="false">L12*Q12</f>
        <v>0</v>
      </c>
      <c r="W12" s="26" t="n">
        <f aca="false">M12*R12</f>
        <v>0</v>
      </c>
      <c r="X12" s="26" t="n">
        <f aca="false">N12*S12</f>
        <v>0.0387596899224806</v>
      </c>
      <c r="Y12" s="26" t="n">
        <f aca="false">O12*T12</f>
        <v>0.0237304224015187</v>
      </c>
      <c r="Z12" s="26" t="n">
        <f aca="false">P12*U12</f>
        <v>0.0158202816010125</v>
      </c>
      <c r="AA12" s="28" t="n">
        <f aca="false">SUM(V12:Z12)</f>
        <v>0.0783103939250119</v>
      </c>
      <c r="AB12" s="29" t="n">
        <f aca="false">SUMPRODUCT(L12:P12*(Q12:U12&gt;0))</f>
        <v>0.00622923588039867</v>
      </c>
    </row>
    <row r="13" customFormat="false" ht="15" hidden="false" customHeight="false" outlineLevel="0" collapsed="false">
      <c r="A13" s="23" t="str">
        <f aca="false">Paytable!A11</f>
        <v>Q</v>
      </c>
      <c r="B13" s="23" t="n">
        <f aca="false">INDEX('Symbol Counts'!B$5:B$14,MATCH($A13,'Symbol Counts'!$A$5:$A$14,0))</f>
        <v>7</v>
      </c>
      <c r="C13" s="23" t="n">
        <f aca="false">INDEX('Symbol Counts'!C$5:C$14,MATCH($A13,'Symbol Counts'!$A$5:$A$14,0))+C$4</f>
        <v>10</v>
      </c>
      <c r="D13" s="23" t="n">
        <f aca="false">INDEX('Symbol Counts'!D$5:D$14,MATCH($A13,'Symbol Counts'!$A$5:$A$14,0))+D$4</f>
        <v>12</v>
      </c>
      <c r="E13" s="23" t="n">
        <f aca="false">INDEX('Symbol Counts'!E$5:E$14,MATCH($A13,'Symbol Counts'!$A$5:$A$14,0))+E$4</f>
        <v>10</v>
      </c>
      <c r="F13" s="23" t="n">
        <f aca="false">INDEX('Symbol Counts'!F$5:F$14,MATCH($A13,'Symbol Counts'!$A$5:$A$14,0))+F$4</f>
        <v>7</v>
      </c>
      <c r="G13" s="26" t="n">
        <f aca="false">B13/B$3</f>
        <v>0.159090909090909</v>
      </c>
      <c r="H13" s="26" t="n">
        <f aca="false">G13*C13/C$3</f>
        <v>0.0369978858350951</v>
      </c>
      <c r="I13" s="26" t="n">
        <f aca="false">H13*D13/D$3</f>
        <v>0.0105708245243129</v>
      </c>
      <c r="J13" s="26" t="n">
        <f aca="false">I13*E13/E$3</f>
        <v>0.00234907211651398</v>
      </c>
      <c r="K13" s="26" t="n">
        <f aca="false">J13*F13/F$3</f>
        <v>0.000391512019418996</v>
      </c>
      <c r="L13" s="26" t="n">
        <f aca="false">G13-H13</f>
        <v>0.122093023255814</v>
      </c>
      <c r="M13" s="26" t="n">
        <f aca="false">H13-I13</f>
        <v>0.0264270613107822</v>
      </c>
      <c r="N13" s="26" t="n">
        <f aca="false">I13-J13</f>
        <v>0.00822175240779892</v>
      </c>
      <c r="O13" s="26" t="n">
        <f aca="false">J13-K13</f>
        <v>0.00195756009709498</v>
      </c>
      <c r="P13" s="26" t="n">
        <f aca="false">K13</f>
        <v>0.000391512019418996</v>
      </c>
      <c r="Q13" s="27" t="n">
        <f aca="false">INDEX(Paytable!B$5:B$12,MATCH($A13,Paytable!$A$5:$A$12,0))</f>
        <v>0</v>
      </c>
      <c r="R13" s="27" t="n">
        <f aca="false">INDEX(Paytable!C$5:C$12,MATCH($A13,Paytable!$A$5:$A$12,0))</f>
        <v>0</v>
      </c>
      <c r="S13" s="27" t="n">
        <f aca="false">INDEX(Paytable!D$5:D$12,MATCH($A13,Paytable!$A$5:$A$12,0))</f>
        <v>5</v>
      </c>
      <c r="T13" s="27" t="n">
        <f aca="false">INDEX(Paytable!E$5:E$12,MATCH($A13,Paytable!$A$5:$A$12,0))</f>
        <v>15</v>
      </c>
      <c r="U13" s="27" t="n">
        <f aca="false">INDEX(Paytable!F$5:F$12,MATCH($A13,Paytable!$A$5:$A$12,0))</f>
        <v>60</v>
      </c>
      <c r="V13" s="26" t="n">
        <f aca="false">L13*Q13</f>
        <v>0</v>
      </c>
      <c r="W13" s="26" t="n">
        <f aca="false">M13*R13</f>
        <v>0</v>
      </c>
      <c r="X13" s="26" t="n">
        <f aca="false">N13*S13</f>
        <v>0.0411087620389946</v>
      </c>
      <c r="Y13" s="26" t="n">
        <f aca="false">O13*T13</f>
        <v>0.0293634014564247</v>
      </c>
      <c r="Z13" s="26" t="n">
        <f aca="false">P13*U13</f>
        <v>0.0234907211651398</v>
      </c>
      <c r="AA13" s="28" t="n">
        <f aca="false">SUM(V13:Z13)</f>
        <v>0.0939628846605591</v>
      </c>
      <c r="AB13" s="29" t="n">
        <f aca="false">SUMPRODUCT(L13:P13*(Q13:U13&gt;0))</f>
        <v>0.0105708245243129</v>
      </c>
    </row>
    <row r="14" customFormat="false" ht="15" hidden="false" customHeight="false" outlineLevel="0" collapsed="false">
      <c r="A14" s="23" t="str">
        <f aca="false">Paytable!A12</f>
        <v>J</v>
      </c>
      <c r="B14" s="23" t="n">
        <f aca="false">INDEX('Symbol Counts'!B$5:B$14,MATCH($A14,'Symbol Counts'!$A$5:$A$14,0))</f>
        <v>7</v>
      </c>
      <c r="C14" s="23" t="n">
        <f aca="false">INDEX('Symbol Counts'!C$5:C$14,MATCH($A14,'Symbol Counts'!$A$5:$A$14,0))+C$4</f>
        <v>10</v>
      </c>
      <c r="D14" s="23" t="n">
        <f aca="false">INDEX('Symbol Counts'!D$5:D$14,MATCH($A14,'Symbol Counts'!$A$5:$A$14,0))+D$4</f>
        <v>11</v>
      </c>
      <c r="E14" s="23" t="n">
        <f aca="false">INDEX('Symbol Counts'!E$5:E$14,MATCH($A14,'Symbol Counts'!$A$5:$A$14,0))+E$4</f>
        <v>11</v>
      </c>
      <c r="F14" s="23" t="n">
        <f aca="false">INDEX('Symbol Counts'!F$5:F$14,MATCH($A14,'Symbol Counts'!$A$5:$A$14,0))+F$4</f>
        <v>7</v>
      </c>
      <c r="G14" s="26" t="n">
        <f aca="false">B14/B$3</f>
        <v>0.159090909090909</v>
      </c>
      <c r="H14" s="26" t="n">
        <f aca="false">G14*C14/C$3</f>
        <v>0.0369978858350951</v>
      </c>
      <c r="I14" s="26" t="n">
        <f aca="false">H14*D14/D$3</f>
        <v>0.00968992248062015</v>
      </c>
      <c r="J14" s="26" t="n">
        <f aca="false">I14*E14/E$3</f>
        <v>0.00236864771748493</v>
      </c>
      <c r="K14" s="26" t="n">
        <f aca="false">J14*F14/F$3</f>
        <v>0.000394774619580821</v>
      </c>
      <c r="L14" s="26" t="n">
        <f aca="false">G14-H14</f>
        <v>0.122093023255814</v>
      </c>
      <c r="M14" s="26" t="n">
        <f aca="false">H14-I14</f>
        <v>0.027307963354475</v>
      </c>
      <c r="N14" s="26" t="n">
        <f aca="false">I14-J14</f>
        <v>0.00732127476313523</v>
      </c>
      <c r="O14" s="26" t="n">
        <f aca="false">J14-K14</f>
        <v>0.00197387309790411</v>
      </c>
      <c r="P14" s="26" t="n">
        <f aca="false">K14</f>
        <v>0.000394774619580821</v>
      </c>
      <c r="Q14" s="27" t="n">
        <f aca="false">INDEX(Paytable!B$5:B$12,MATCH($A14,Paytable!$A$5:$A$12,0))</f>
        <v>0</v>
      </c>
      <c r="R14" s="27" t="n">
        <f aca="false">INDEX(Paytable!C$5:C$12,MATCH($A14,Paytable!$A$5:$A$12,0))</f>
        <v>0</v>
      </c>
      <c r="S14" s="27" t="n">
        <f aca="false">INDEX(Paytable!D$5:D$12,MATCH($A14,Paytable!$A$5:$A$12,0))</f>
        <v>5</v>
      </c>
      <c r="T14" s="27" t="n">
        <f aca="false">INDEX(Paytable!E$5:E$12,MATCH($A14,Paytable!$A$5:$A$12,0))</f>
        <v>10</v>
      </c>
      <c r="U14" s="27" t="n">
        <f aca="false">INDEX(Paytable!F$5:F$12,MATCH($A14,Paytable!$A$5:$A$12,0))</f>
        <v>50</v>
      </c>
      <c r="V14" s="26" t="n">
        <f aca="false">L14*Q14</f>
        <v>0</v>
      </c>
      <c r="W14" s="26" t="n">
        <f aca="false">M14*R14</f>
        <v>0</v>
      </c>
      <c r="X14" s="26" t="n">
        <f aca="false">N14*S14</f>
        <v>0.0366063738156761</v>
      </c>
      <c r="Y14" s="26" t="n">
        <f aca="false">O14*T14</f>
        <v>0.0197387309790411</v>
      </c>
      <c r="Z14" s="26" t="n">
        <f aca="false">P14*U14</f>
        <v>0.0197387309790411</v>
      </c>
      <c r="AA14" s="28" t="n">
        <f aca="false">SUM(V14:Z14)</f>
        <v>0.0760838357737582</v>
      </c>
      <c r="AB14" s="29" t="n">
        <f aca="false">SUMPRODUCT(L14:P14*(Q14:U14&gt;0))</f>
        <v>0.00968992248062015</v>
      </c>
    </row>
    <row r="15" customFormat="false" ht="15" hidden="false" customHeight="false" outlineLevel="0" collapsed="false">
      <c r="A15" s="19" t="s">
        <v>169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 t="n">
        <f aca="false">SUM(AA7:AA14)</f>
        <v>0.759958920534779</v>
      </c>
      <c r="AB15" s="31" t="n">
        <f aca="false">SUM(AB7:AB14)</f>
        <v>0.0508280479210712</v>
      </c>
    </row>
    <row r="17" customFormat="false" ht="15" hidden="false" customHeight="false" outlineLevel="0" collapsed="false">
      <c r="A17" s="21" t="s">
        <v>197</v>
      </c>
      <c r="E17" s="28" t="n">
        <f aca="false">AA15</f>
        <v>0.759958920534779</v>
      </c>
    </row>
    <row r="18" customFormat="false" ht="15" hidden="false" customHeight="false" outlineLevel="0" collapsed="false">
      <c r="A18" s="9" t="s">
        <v>198</v>
      </c>
    </row>
  </sheetData>
  <mergeCells count="5">
    <mergeCell ref="B5:F5"/>
    <mergeCell ref="G5:K5"/>
    <mergeCell ref="L5:P5"/>
    <mergeCell ref="Q5:U5"/>
    <mergeCell ref="V5:Z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199</v>
      </c>
    </row>
    <row r="2" customFormat="false" ht="15" hidden="false" customHeight="false" outlineLevel="0" collapsed="false">
      <c r="A2" s="9" t="s">
        <v>200</v>
      </c>
    </row>
    <row r="4" customFormat="false" ht="15" hidden="false" customHeight="false" outlineLevel="0" collapsed="false">
      <c r="A4" s="5" t="s">
        <v>201</v>
      </c>
      <c r="B4" s="5" t="s">
        <v>202</v>
      </c>
      <c r="C4" s="5" t="s">
        <v>153</v>
      </c>
      <c r="D4" s="5" t="s">
        <v>203</v>
      </c>
    </row>
    <row r="5" customFormat="false" ht="15" hidden="false" customHeight="false" outlineLevel="0" collapsed="false">
      <c r="A5" s="22" t="n">
        <v>1</v>
      </c>
      <c r="B5" s="23" t="n">
        <f aca="false">INDEX('Symbol Counts'!$B$5:$F$14,MATCH('Base Parameters'!$B$15,'Symbol Counts'!$A$5:$A$14,0),A5)</f>
        <v>1</v>
      </c>
      <c r="C5" s="23" t="n">
        <f aca="false">INDEX('Symbol Counts'!$B$15:$F$15,A5)</f>
        <v>44</v>
      </c>
      <c r="D5" s="32" t="n">
        <f aca="false">'Base Parameters'!$B$5*B5/C5</f>
        <v>0.0681818181818182</v>
      </c>
    </row>
    <row r="6" customFormat="false" ht="15" hidden="false" customHeight="false" outlineLevel="0" collapsed="false">
      <c r="A6" s="22" t="n">
        <v>2</v>
      </c>
      <c r="B6" s="23" t="n">
        <f aca="false">INDEX('Symbol Counts'!$B$5:$F$14,MATCH('Base Parameters'!$B$15,'Symbol Counts'!$A$5:$A$14,0),A6)</f>
        <v>2</v>
      </c>
      <c r="C6" s="23" t="n">
        <f aca="false">INDEX('Symbol Counts'!$B$15:$F$15,A6)</f>
        <v>43</v>
      </c>
      <c r="D6" s="32" t="n">
        <f aca="false">'Base Parameters'!$B$5*B6/C6</f>
        <v>0.13953488372093</v>
      </c>
    </row>
    <row r="7" customFormat="false" ht="15" hidden="false" customHeight="false" outlineLevel="0" collapsed="false">
      <c r="A7" s="22" t="n">
        <v>3</v>
      </c>
      <c r="B7" s="23" t="n">
        <f aca="false">INDEX('Symbol Counts'!$B$5:$F$14,MATCH('Base Parameters'!$B$15,'Symbol Counts'!$A$5:$A$14,0),A7)</f>
        <v>1</v>
      </c>
      <c r="C7" s="23" t="n">
        <f aca="false">INDEX('Symbol Counts'!$B$15:$F$15,A7)</f>
        <v>42</v>
      </c>
      <c r="D7" s="32" t="n">
        <f aca="false">'Base Parameters'!$B$5*B7/C7</f>
        <v>0.0714285714285714</v>
      </c>
    </row>
    <row r="8" customFormat="false" ht="15" hidden="false" customHeight="false" outlineLevel="0" collapsed="false">
      <c r="A8" s="22" t="n">
        <v>4</v>
      </c>
      <c r="B8" s="23" t="n">
        <f aca="false">INDEX('Symbol Counts'!$B$5:$F$14,MATCH('Base Parameters'!$B$15,'Symbol Counts'!$A$5:$A$14,0),A8)</f>
        <v>2</v>
      </c>
      <c r="C8" s="23" t="n">
        <f aca="false">INDEX('Symbol Counts'!$B$15:$F$15,A8)</f>
        <v>45</v>
      </c>
      <c r="D8" s="32" t="n">
        <f aca="false">'Base Parameters'!$B$5*B8/C8</f>
        <v>0.133333333333333</v>
      </c>
    </row>
    <row r="9" customFormat="false" ht="15" hidden="false" customHeight="false" outlineLevel="0" collapsed="false">
      <c r="A9" s="22" t="n">
        <v>5</v>
      </c>
      <c r="B9" s="23" t="n">
        <f aca="false">INDEX('Symbol Counts'!$B$5:$F$14,MATCH('Base Parameters'!$B$15,'Symbol Counts'!$A$5:$A$14,0),A9)</f>
        <v>1</v>
      </c>
      <c r="C9" s="23" t="n">
        <f aca="false">INDEX('Symbol Counts'!$B$15:$F$15,A9)</f>
        <v>42</v>
      </c>
      <c r="D9" s="32" t="n">
        <f aca="false">'Base Parameters'!$B$5*B9/C9</f>
        <v>0.0714285714285714</v>
      </c>
    </row>
    <row r="11" customFormat="false" ht="15" hidden="false" customHeight="false" outlineLevel="0" collapsed="false">
      <c r="A11" s="4" t="s">
        <v>204</v>
      </c>
    </row>
    <row r="12" customFormat="false" ht="15" hidden="false" customHeight="false" outlineLevel="0" collapsed="false">
      <c r="A12" s="5" t="s">
        <v>205</v>
      </c>
      <c r="B12" s="5" t="s">
        <v>180</v>
      </c>
      <c r="C12" s="5" t="s">
        <v>181</v>
      </c>
      <c r="D12" s="5" t="s">
        <v>182</v>
      </c>
      <c r="E12" s="5" t="s">
        <v>183</v>
      </c>
      <c r="F12" s="5" t="s">
        <v>184</v>
      </c>
      <c r="G12" s="5" t="s">
        <v>206</v>
      </c>
      <c r="H12" s="5" t="s">
        <v>207</v>
      </c>
    </row>
    <row r="13" customFormat="false" ht="15" hidden="false" customHeight="false" outlineLevel="0" collapsed="false">
      <c r="A13" s="22" t="n">
        <v>0</v>
      </c>
      <c r="B13" s="22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f aca="false">SUM(B13:F13)</f>
        <v>0</v>
      </c>
      <c r="H13" s="26" t="n">
        <f aca="false">IF(B13=1,$D$5,1-$D$5)*IF(C13=1,$D$6,1-$D$6)*IF(D13=1,$D$7,1-$D$7)*IF(E13=1,$D$8,1-$D$8)*IF(F13=1,$D$9,1-$D$9)</f>
        <v>0.599166019473329</v>
      </c>
    </row>
    <row r="14" customFormat="false" ht="15" hidden="false" customHeight="false" outlineLevel="0" collapsed="false">
      <c r="A14" s="22" t="n">
        <v>1</v>
      </c>
      <c r="B14" s="22" t="n">
        <v>1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f aca="false">SUM(B14:F14)</f>
        <v>1</v>
      </c>
      <c r="H14" s="26" t="n">
        <f aca="false">IF(B14=1,$D$5,1-$D$5)*IF(C14=1,$D$6,1-$D$6)*IF(D14=1,$D$7,1-$D$7)*IF(E14=1,$D$8,1-$D$8)*IF(F14=1,$D$9,1-$D$9)</f>
        <v>0.043841416059024</v>
      </c>
    </row>
    <row r="15" customFormat="false" ht="15" hidden="false" customHeight="false" outlineLevel="0" collapsed="false">
      <c r="A15" s="22" t="n">
        <v>2</v>
      </c>
      <c r="B15" s="22" t="n">
        <v>0</v>
      </c>
      <c r="C15" s="22" t="n">
        <v>1</v>
      </c>
      <c r="D15" s="22" t="n">
        <v>0</v>
      </c>
      <c r="E15" s="22" t="n">
        <v>0</v>
      </c>
      <c r="F15" s="22" t="n">
        <v>0</v>
      </c>
      <c r="G15" s="22" t="n">
        <f aca="false">SUM(B15:F15)</f>
        <v>1</v>
      </c>
      <c r="H15" s="26" t="n">
        <f aca="false">IF(B15=1,$D$5,1-$D$5)*IF(C15=1,$D$6,1-$D$6)*IF(D15=1,$D$7,1-$D$7)*IF(E15=1,$D$8,1-$D$8)*IF(F15=1,$D$9,1-$D$9)</f>
        <v>0.0971620572118911</v>
      </c>
    </row>
    <row r="16" customFormat="false" ht="15" hidden="false" customHeight="false" outlineLevel="0" collapsed="false">
      <c r="A16" s="22" t="n">
        <v>3</v>
      </c>
      <c r="B16" s="22" t="n">
        <v>1</v>
      </c>
      <c r="C16" s="22" t="n">
        <v>1</v>
      </c>
      <c r="D16" s="22" t="n">
        <v>0</v>
      </c>
      <c r="E16" s="22" t="n">
        <v>0</v>
      </c>
      <c r="F16" s="22" t="n">
        <v>0</v>
      </c>
      <c r="G16" s="22" t="n">
        <f aca="false">SUM(B16:F16)</f>
        <v>2</v>
      </c>
      <c r="H16" s="26" t="n">
        <f aca="false">IF(B16=1,$D$5,1-$D$5)*IF(C16=1,$D$6,1-$D$6)*IF(D16=1,$D$7,1-$D$7)*IF(E16=1,$D$8,1-$D$8)*IF(F16=1,$D$9,1-$D$9)</f>
        <v>0.00710941882038228</v>
      </c>
    </row>
    <row r="17" customFormat="false" ht="15" hidden="false" customHeight="false" outlineLevel="0" collapsed="false">
      <c r="A17" s="22" t="n">
        <v>4</v>
      </c>
      <c r="B17" s="22" t="n">
        <v>0</v>
      </c>
      <c r="C17" s="22" t="n">
        <v>0</v>
      </c>
      <c r="D17" s="22" t="n">
        <v>1</v>
      </c>
      <c r="E17" s="22" t="n">
        <v>0</v>
      </c>
      <c r="F17" s="22" t="n">
        <v>0</v>
      </c>
      <c r="G17" s="22" t="n">
        <f aca="false">SUM(B17:F17)</f>
        <v>1</v>
      </c>
      <c r="H17" s="26" t="n">
        <f aca="false">IF(B17=1,$D$5,1-$D$5)*IF(C17=1,$D$6,1-$D$6)*IF(D17=1,$D$7,1-$D$7)*IF(E17=1,$D$8,1-$D$8)*IF(F17=1,$D$9,1-$D$9)</f>
        <v>0.0460896938056407</v>
      </c>
    </row>
    <row r="18" customFormat="false" ht="15" hidden="false" customHeight="false" outlineLevel="0" collapsed="false">
      <c r="A18" s="22" t="n">
        <v>5</v>
      </c>
      <c r="B18" s="22" t="n">
        <v>1</v>
      </c>
      <c r="C18" s="22" t="n">
        <v>0</v>
      </c>
      <c r="D18" s="22" t="n">
        <v>1</v>
      </c>
      <c r="E18" s="22" t="n">
        <v>0</v>
      </c>
      <c r="F18" s="22" t="n">
        <v>0</v>
      </c>
      <c r="G18" s="22" t="n">
        <f aca="false">SUM(B18:F18)</f>
        <v>2</v>
      </c>
      <c r="H18" s="26" t="n">
        <f aca="false">IF(B18=1,$D$5,1-$D$5)*IF(C18=1,$D$6,1-$D$6)*IF(D18=1,$D$7,1-$D$7)*IF(E18=1,$D$8,1-$D$8)*IF(F18=1,$D$9,1-$D$9)</f>
        <v>0.00337241661992493</v>
      </c>
    </row>
    <row r="19" customFormat="false" ht="15" hidden="false" customHeight="false" outlineLevel="0" collapsed="false">
      <c r="A19" s="22" t="n">
        <v>6</v>
      </c>
      <c r="B19" s="22" t="n">
        <v>0</v>
      </c>
      <c r="C19" s="22" t="n">
        <v>1</v>
      </c>
      <c r="D19" s="22" t="n">
        <v>1</v>
      </c>
      <c r="E19" s="22" t="n">
        <v>0</v>
      </c>
      <c r="F19" s="22" t="n">
        <v>0</v>
      </c>
      <c r="G19" s="22" t="n">
        <f aca="false">SUM(B19:F19)</f>
        <v>2</v>
      </c>
      <c r="H19" s="26" t="n">
        <f aca="false">IF(B19=1,$D$5,1-$D$5)*IF(C19=1,$D$6,1-$D$6)*IF(D19=1,$D$7,1-$D$7)*IF(E19=1,$D$8,1-$D$8)*IF(F19=1,$D$9,1-$D$9)</f>
        <v>0.0074740044009147</v>
      </c>
    </row>
    <row r="20" customFormat="false" ht="15" hidden="false" customHeight="false" outlineLevel="0" collapsed="false">
      <c r="A20" s="22" t="n">
        <v>7</v>
      </c>
      <c r="B20" s="22" t="n">
        <v>1</v>
      </c>
      <c r="C20" s="22" t="n">
        <v>1</v>
      </c>
      <c r="D20" s="22" t="n">
        <v>1</v>
      </c>
      <c r="E20" s="22" t="n">
        <v>0</v>
      </c>
      <c r="F20" s="22" t="n">
        <v>0</v>
      </c>
      <c r="G20" s="22" t="n">
        <f aca="false">SUM(B20:F20)</f>
        <v>3</v>
      </c>
      <c r="H20" s="26" t="n">
        <f aca="false">IF(B20=1,$D$5,1-$D$5)*IF(C20=1,$D$6,1-$D$6)*IF(D20=1,$D$7,1-$D$7)*IF(E20=1,$D$8,1-$D$8)*IF(F20=1,$D$9,1-$D$9)</f>
        <v>0.000546878370798637</v>
      </c>
    </row>
    <row r="21" customFormat="false" ht="15" hidden="false" customHeight="false" outlineLevel="0" collapsed="false">
      <c r="A21" s="22" t="n">
        <v>8</v>
      </c>
      <c r="B21" s="22" t="n">
        <v>0</v>
      </c>
      <c r="C21" s="22" t="n">
        <v>0</v>
      </c>
      <c r="D21" s="22" t="n">
        <v>0</v>
      </c>
      <c r="E21" s="22" t="n">
        <v>1</v>
      </c>
      <c r="F21" s="22" t="n">
        <v>0</v>
      </c>
      <c r="G21" s="22" t="n">
        <f aca="false">SUM(B21:F21)</f>
        <v>1</v>
      </c>
      <c r="H21" s="26" t="n">
        <f aca="false">IF(B21=1,$D$5,1-$D$5)*IF(C21=1,$D$6,1-$D$6)*IF(D21=1,$D$7,1-$D$7)*IF(E21=1,$D$8,1-$D$8)*IF(F21=1,$D$9,1-$D$9)</f>
        <v>0.0921793876112813</v>
      </c>
    </row>
    <row r="22" customFormat="false" ht="15" hidden="false" customHeight="false" outlineLevel="0" collapsed="false">
      <c r="A22" s="22" t="n">
        <v>9</v>
      </c>
      <c r="B22" s="22" t="n">
        <v>1</v>
      </c>
      <c r="C22" s="22" t="n">
        <v>0</v>
      </c>
      <c r="D22" s="22" t="n">
        <v>0</v>
      </c>
      <c r="E22" s="22" t="n">
        <v>1</v>
      </c>
      <c r="F22" s="22" t="n">
        <v>0</v>
      </c>
      <c r="G22" s="22" t="n">
        <f aca="false">SUM(B22:F22)</f>
        <v>2</v>
      </c>
      <c r="H22" s="26" t="n">
        <f aca="false">IF(B22=1,$D$5,1-$D$5)*IF(C22=1,$D$6,1-$D$6)*IF(D22=1,$D$7,1-$D$7)*IF(E22=1,$D$8,1-$D$8)*IF(F22=1,$D$9,1-$D$9)</f>
        <v>0.00674483323984985</v>
      </c>
    </row>
    <row r="23" customFormat="false" ht="15" hidden="false" customHeight="false" outlineLevel="0" collapsed="false">
      <c r="A23" s="22" t="n">
        <v>10</v>
      </c>
      <c r="B23" s="22" t="n">
        <v>0</v>
      </c>
      <c r="C23" s="22" t="n">
        <v>1</v>
      </c>
      <c r="D23" s="22" t="n">
        <v>0</v>
      </c>
      <c r="E23" s="22" t="n">
        <v>1</v>
      </c>
      <c r="F23" s="22" t="n">
        <v>0</v>
      </c>
      <c r="G23" s="22" t="n">
        <f aca="false">SUM(B23:F23)</f>
        <v>2</v>
      </c>
      <c r="H23" s="26" t="n">
        <f aca="false">IF(B23=1,$D$5,1-$D$5)*IF(C23=1,$D$6,1-$D$6)*IF(D23=1,$D$7,1-$D$7)*IF(E23=1,$D$8,1-$D$8)*IF(F23=1,$D$9,1-$D$9)</f>
        <v>0.0149480088018294</v>
      </c>
    </row>
    <row r="24" customFormat="false" ht="15" hidden="false" customHeight="false" outlineLevel="0" collapsed="false">
      <c r="A24" s="22" t="n">
        <v>11</v>
      </c>
      <c r="B24" s="22" t="n">
        <v>1</v>
      </c>
      <c r="C24" s="22" t="n">
        <v>1</v>
      </c>
      <c r="D24" s="22" t="n">
        <v>0</v>
      </c>
      <c r="E24" s="22" t="n">
        <v>1</v>
      </c>
      <c r="F24" s="22" t="n">
        <v>0</v>
      </c>
      <c r="G24" s="22" t="n">
        <f aca="false">SUM(B24:F24)</f>
        <v>3</v>
      </c>
      <c r="H24" s="26" t="n">
        <f aca="false">IF(B24=1,$D$5,1-$D$5)*IF(C24=1,$D$6,1-$D$6)*IF(D24=1,$D$7,1-$D$7)*IF(E24=1,$D$8,1-$D$8)*IF(F24=1,$D$9,1-$D$9)</f>
        <v>0.00109375674159727</v>
      </c>
    </row>
    <row r="25" customFormat="false" ht="15" hidden="false" customHeight="false" outlineLevel="0" collapsed="false">
      <c r="A25" s="22" t="n">
        <v>12</v>
      </c>
      <c r="B25" s="22" t="n">
        <v>0</v>
      </c>
      <c r="C25" s="22" t="n">
        <v>0</v>
      </c>
      <c r="D25" s="22" t="n">
        <v>1</v>
      </c>
      <c r="E25" s="22" t="n">
        <v>1</v>
      </c>
      <c r="F25" s="22" t="n">
        <v>0</v>
      </c>
      <c r="G25" s="22" t="n">
        <f aca="false">SUM(B25:F25)</f>
        <v>2</v>
      </c>
      <c r="H25" s="26" t="n">
        <f aca="false">IF(B25=1,$D$5,1-$D$5)*IF(C25=1,$D$6,1-$D$6)*IF(D25=1,$D$7,1-$D$7)*IF(E25=1,$D$8,1-$D$8)*IF(F25=1,$D$9,1-$D$9)</f>
        <v>0.00709072212394472</v>
      </c>
    </row>
    <row r="26" customFormat="false" ht="15" hidden="false" customHeight="false" outlineLevel="0" collapsed="false">
      <c r="A26" s="22" t="n">
        <v>13</v>
      </c>
      <c r="B26" s="22" t="n">
        <v>1</v>
      </c>
      <c r="C26" s="22" t="n">
        <v>0</v>
      </c>
      <c r="D26" s="22" t="n">
        <v>1</v>
      </c>
      <c r="E26" s="22" t="n">
        <v>1</v>
      </c>
      <c r="F26" s="22" t="n">
        <v>0</v>
      </c>
      <c r="G26" s="22" t="n">
        <f aca="false">SUM(B26:F26)</f>
        <v>3</v>
      </c>
      <c r="H26" s="26" t="n">
        <f aca="false">IF(B26=1,$D$5,1-$D$5)*IF(C26=1,$D$6,1-$D$6)*IF(D26=1,$D$7,1-$D$7)*IF(E26=1,$D$8,1-$D$8)*IF(F26=1,$D$9,1-$D$9)</f>
        <v>0.000518833326142296</v>
      </c>
    </row>
    <row r="27" customFormat="false" ht="15" hidden="false" customHeight="false" outlineLevel="0" collapsed="false">
      <c r="A27" s="22" t="n">
        <v>14</v>
      </c>
      <c r="B27" s="22" t="n">
        <v>0</v>
      </c>
      <c r="C27" s="22" t="n">
        <v>1</v>
      </c>
      <c r="D27" s="22" t="n">
        <v>1</v>
      </c>
      <c r="E27" s="22" t="n">
        <v>1</v>
      </c>
      <c r="F27" s="22" t="n">
        <v>0</v>
      </c>
      <c r="G27" s="22" t="n">
        <f aca="false">SUM(B27:F27)</f>
        <v>3</v>
      </c>
      <c r="H27" s="26" t="n">
        <f aca="false">IF(B27=1,$D$5,1-$D$5)*IF(C27=1,$D$6,1-$D$6)*IF(D27=1,$D$7,1-$D$7)*IF(E27=1,$D$8,1-$D$8)*IF(F27=1,$D$9,1-$D$9)</f>
        <v>0.00114984683090995</v>
      </c>
    </row>
    <row r="28" customFormat="false" ht="15" hidden="false" customHeight="false" outlineLevel="0" collapsed="false">
      <c r="A28" s="22" t="n">
        <v>15</v>
      </c>
      <c r="B28" s="22" t="n">
        <v>1</v>
      </c>
      <c r="C28" s="22" t="n">
        <v>1</v>
      </c>
      <c r="D28" s="22" t="n">
        <v>1</v>
      </c>
      <c r="E28" s="22" t="n">
        <v>1</v>
      </c>
      <c r="F28" s="22" t="n">
        <v>0</v>
      </c>
      <c r="G28" s="22" t="n">
        <f aca="false">SUM(B28:F28)</f>
        <v>4</v>
      </c>
      <c r="H28" s="26" t="n">
        <f aca="false">IF(B28=1,$D$5,1-$D$5)*IF(C28=1,$D$6,1-$D$6)*IF(D28=1,$D$7,1-$D$7)*IF(E28=1,$D$8,1-$D$8)*IF(F28=1,$D$9,1-$D$9)</f>
        <v>8.4135133969021E-005</v>
      </c>
    </row>
    <row r="29" customFormat="false" ht="15" hidden="false" customHeight="false" outlineLevel="0" collapsed="false">
      <c r="A29" s="22" t="n">
        <v>16</v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1</v>
      </c>
      <c r="G29" s="22" t="n">
        <f aca="false">SUM(B29:F29)</f>
        <v>1</v>
      </c>
      <c r="H29" s="26" t="n">
        <f aca="false">IF(B29=1,$D$5,1-$D$5)*IF(C29=1,$D$6,1-$D$6)*IF(D29=1,$D$7,1-$D$7)*IF(E29=1,$D$8,1-$D$8)*IF(F29=1,$D$9,1-$D$9)</f>
        <v>0.0460896938056407</v>
      </c>
    </row>
    <row r="30" customFormat="false" ht="15" hidden="false" customHeight="false" outlineLevel="0" collapsed="false">
      <c r="A30" s="22" t="n">
        <v>17</v>
      </c>
      <c r="B30" s="22" t="n">
        <v>1</v>
      </c>
      <c r="C30" s="22" t="n">
        <v>0</v>
      </c>
      <c r="D30" s="22" t="n">
        <v>0</v>
      </c>
      <c r="E30" s="22" t="n">
        <v>0</v>
      </c>
      <c r="F30" s="22" t="n">
        <v>1</v>
      </c>
      <c r="G30" s="22" t="n">
        <f aca="false">SUM(B30:F30)</f>
        <v>2</v>
      </c>
      <c r="H30" s="26" t="n">
        <f aca="false">IF(B30=1,$D$5,1-$D$5)*IF(C30=1,$D$6,1-$D$6)*IF(D30=1,$D$7,1-$D$7)*IF(E30=1,$D$8,1-$D$8)*IF(F30=1,$D$9,1-$D$9)</f>
        <v>0.00337241661992493</v>
      </c>
    </row>
    <row r="31" customFormat="false" ht="15" hidden="false" customHeight="false" outlineLevel="0" collapsed="false">
      <c r="A31" s="22" t="n">
        <v>18</v>
      </c>
      <c r="B31" s="22" t="n">
        <v>0</v>
      </c>
      <c r="C31" s="22" t="n">
        <v>1</v>
      </c>
      <c r="D31" s="22" t="n">
        <v>0</v>
      </c>
      <c r="E31" s="22" t="n">
        <v>0</v>
      </c>
      <c r="F31" s="22" t="n">
        <v>1</v>
      </c>
      <c r="G31" s="22" t="n">
        <f aca="false">SUM(B31:F31)</f>
        <v>2</v>
      </c>
      <c r="H31" s="26" t="n">
        <f aca="false">IF(B31=1,$D$5,1-$D$5)*IF(C31=1,$D$6,1-$D$6)*IF(D31=1,$D$7,1-$D$7)*IF(E31=1,$D$8,1-$D$8)*IF(F31=1,$D$9,1-$D$9)</f>
        <v>0.0074740044009147</v>
      </c>
    </row>
    <row r="32" customFormat="false" ht="15" hidden="false" customHeight="false" outlineLevel="0" collapsed="false">
      <c r="A32" s="22" t="n">
        <v>19</v>
      </c>
      <c r="B32" s="22" t="n">
        <v>1</v>
      </c>
      <c r="C32" s="22" t="n">
        <v>1</v>
      </c>
      <c r="D32" s="22" t="n">
        <v>0</v>
      </c>
      <c r="E32" s="22" t="n">
        <v>0</v>
      </c>
      <c r="F32" s="22" t="n">
        <v>1</v>
      </c>
      <c r="G32" s="22" t="n">
        <f aca="false">SUM(B32:F32)</f>
        <v>3</v>
      </c>
      <c r="H32" s="26" t="n">
        <f aca="false">IF(B32=1,$D$5,1-$D$5)*IF(C32=1,$D$6,1-$D$6)*IF(D32=1,$D$7,1-$D$7)*IF(E32=1,$D$8,1-$D$8)*IF(F32=1,$D$9,1-$D$9)</f>
        <v>0.000546878370798637</v>
      </c>
    </row>
    <row r="33" customFormat="false" ht="15" hidden="false" customHeight="false" outlineLevel="0" collapsed="false">
      <c r="A33" s="22" t="n">
        <v>20</v>
      </c>
      <c r="B33" s="22" t="n">
        <v>0</v>
      </c>
      <c r="C33" s="22" t="n">
        <v>0</v>
      </c>
      <c r="D33" s="22" t="n">
        <v>1</v>
      </c>
      <c r="E33" s="22" t="n">
        <v>0</v>
      </c>
      <c r="F33" s="22" t="n">
        <v>1</v>
      </c>
      <c r="G33" s="22" t="n">
        <f aca="false">SUM(B33:F33)</f>
        <v>2</v>
      </c>
      <c r="H33" s="26" t="n">
        <f aca="false">IF(B33=1,$D$5,1-$D$5)*IF(C33=1,$D$6,1-$D$6)*IF(D33=1,$D$7,1-$D$7)*IF(E33=1,$D$8,1-$D$8)*IF(F33=1,$D$9,1-$D$9)</f>
        <v>0.00354536106197236</v>
      </c>
    </row>
    <row r="34" customFormat="false" ht="15" hidden="false" customHeight="false" outlineLevel="0" collapsed="false">
      <c r="A34" s="22" t="n">
        <v>21</v>
      </c>
      <c r="B34" s="22" t="n">
        <v>1</v>
      </c>
      <c r="C34" s="22" t="n">
        <v>0</v>
      </c>
      <c r="D34" s="22" t="n">
        <v>1</v>
      </c>
      <c r="E34" s="22" t="n">
        <v>0</v>
      </c>
      <c r="F34" s="22" t="n">
        <v>1</v>
      </c>
      <c r="G34" s="22" t="n">
        <f aca="false">SUM(B34:F34)</f>
        <v>3</v>
      </c>
      <c r="H34" s="26" t="n">
        <f aca="false">IF(B34=1,$D$5,1-$D$5)*IF(C34=1,$D$6,1-$D$6)*IF(D34=1,$D$7,1-$D$7)*IF(E34=1,$D$8,1-$D$8)*IF(F34=1,$D$9,1-$D$9)</f>
        <v>0.000259416663071148</v>
      </c>
    </row>
    <row r="35" customFormat="false" ht="15" hidden="false" customHeight="false" outlineLevel="0" collapsed="false">
      <c r="A35" s="22" t="n">
        <v>22</v>
      </c>
      <c r="B35" s="22" t="n">
        <v>0</v>
      </c>
      <c r="C35" s="22" t="n">
        <v>1</v>
      </c>
      <c r="D35" s="22" t="n">
        <v>1</v>
      </c>
      <c r="E35" s="22" t="n">
        <v>0</v>
      </c>
      <c r="F35" s="22" t="n">
        <v>1</v>
      </c>
      <c r="G35" s="22" t="n">
        <f aca="false">SUM(B35:F35)</f>
        <v>3</v>
      </c>
      <c r="H35" s="26" t="n">
        <f aca="false">IF(B35=1,$D$5,1-$D$5)*IF(C35=1,$D$6,1-$D$6)*IF(D35=1,$D$7,1-$D$7)*IF(E35=1,$D$8,1-$D$8)*IF(F35=1,$D$9,1-$D$9)</f>
        <v>0.000574923415454977</v>
      </c>
    </row>
    <row r="36" customFormat="false" ht="15" hidden="false" customHeight="false" outlineLevel="0" collapsed="false">
      <c r="A36" s="22" t="n">
        <v>23</v>
      </c>
      <c r="B36" s="22" t="n">
        <v>1</v>
      </c>
      <c r="C36" s="22" t="n">
        <v>1</v>
      </c>
      <c r="D36" s="22" t="n">
        <v>1</v>
      </c>
      <c r="E36" s="22" t="n">
        <v>0</v>
      </c>
      <c r="F36" s="22" t="n">
        <v>1</v>
      </c>
      <c r="G36" s="22" t="n">
        <f aca="false">SUM(B36:F36)</f>
        <v>4</v>
      </c>
      <c r="H36" s="26" t="n">
        <f aca="false">IF(B36=1,$D$5,1-$D$5)*IF(C36=1,$D$6,1-$D$6)*IF(D36=1,$D$7,1-$D$7)*IF(E36=1,$D$8,1-$D$8)*IF(F36=1,$D$9,1-$D$9)</f>
        <v>4.20675669845105E-005</v>
      </c>
    </row>
    <row r="37" customFormat="false" ht="15" hidden="false" customHeight="false" outlineLevel="0" collapsed="false">
      <c r="A37" s="22" t="n">
        <v>24</v>
      </c>
      <c r="B37" s="22" t="n">
        <v>0</v>
      </c>
      <c r="C37" s="22" t="n">
        <v>0</v>
      </c>
      <c r="D37" s="22" t="n">
        <v>0</v>
      </c>
      <c r="E37" s="22" t="n">
        <v>1</v>
      </c>
      <c r="F37" s="22" t="n">
        <v>1</v>
      </c>
      <c r="G37" s="22" t="n">
        <f aca="false">SUM(B37:F37)</f>
        <v>2</v>
      </c>
      <c r="H37" s="26" t="n">
        <f aca="false">IF(B37=1,$D$5,1-$D$5)*IF(C37=1,$D$6,1-$D$6)*IF(D37=1,$D$7,1-$D$7)*IF(E37=1,$D$8,1-$D$8)*IF(F37=1,$D$9,1-$D$9)</f>
        <v>0.00709072212394471</v>
      </c>
    </row>
    <row r="38" customFormat="false" ht="15" hidden="false" customHeight="false" outlineLevel="0" collapsed="false">
      <c r="A38" s="22" t="n">
        <v>25</v>
      </c>
      <c r="B38" s="22" t="n">
        <v>1</v>
      </c>
      <c r="C38" s="22" t="n">
        <v>0</v>
      </c>
      <c r="D38" s="22" t="n">
        <v>0</v>
      </c>
      <c r="E38" s="22" t="n">
        <v>1</v>
      </c>
      <c r="F38" s="22" t="n">
        <v>1</v>
      </c>
      <c r="G38" s="22" t="n">
        <f aca="false">SUM(B38:F38)</f>
        <v>3</v>
      </c>
      <c r="H38" s="26" t="n">
        <f aca="false">IF(B38=1,$D$5,1-$D$5)*IF(C38=1,$D$6,1-$D$6)*IF(D38=1,$D$7,1-$D$7)*IF(E38=1,$D$8,1-$D$8)*IF(F38=1,$D$9,1-$D$9)</f>
        <v>0.000518833326142296</v>
      </c>
    </row>
    <row r="39" customFormat="false" ht="15" hidden="false" customHeight="false" outlineLevel="0" collapsed="false">
      <c r="A39" s="22" t="n">
        <v>26</v>
      </c>
      <c r="B39" s="22" t="n">
        <v>0</v>
      </c>
      <c r="C39" s="22" t="n">
        <v>1</v>
      </c>
      <c r="D39" s="22" t="n">
        <v>0</v>
      </c>
      <c r="E39" s="22" t="n">
        <v>1</v>
      </c>
      <c r="F39" s="22" t="n">
        <v>1</v>
      </c>
      <c r="G39" s="22" t="n">
        <f aca="false">SUM(B39:F39)</f>
        <v>3</v>
      </c>
      <c r="H39" s="26" t="n">
        <f aca="false">IF(B39=1,$D$5,1-$D$5)*IF(C39=1,$D$6,1-$D$6)*IF(D39=1,$D$7,1-$D$7)*IF(E39=1,$D$8,1-$D$8)*IF(F39=1,$D$9,1-$D$9)</f>
        <v>0.00114984683090995</v>
      </c>
    </row>
    <row r="40" customFormat="false" ht="15" hidden="false" customHeight="false" outlineLevel="0" collapsed="false">
      <c r="A40" s="22" t="n">
        <v>27</v>
      </c>
      <c r="B40" s="22" t="n">
        <v>1</v>
      </c>
      <c r="C40" s="22" t="n">
        <v>1</v>
      </c>
      <c r="D40" s="22" t="n">
        <v>0</v>
      </c>
      <c r="E40" s="22" t="n">
        <v>1</v>
      </c>
      <c r="F40" s="22" t="n">
        <v>1</v>
      </c>
      <c r="G40" s="22" t="n">
        <f aca="false">SUM(B40:F40)</f>
        <v>4</v>
      </c>
      <c r="H40" s="26" t="n">
        <f aca="false">IF(B40=1,$D$5,1-$D$5)*IF(C40=1,$D$6,1-$D$6)*IF(D40=1,$D$7,1-$D$7)*IF(E40=1,$D$8,1-$D$8)*IF(F40=1,$D$9,1-$D$9)</f>
        <v>8.4135133969021E-005</v>
      </c>
    </row>
    <row r="41" customFormat="false" ht="15" hidden="false" customHeight="false" outlineLevel="0" collapsed="false">
      <c r="A41" s="22" t="n">
        <v>28</v>
      </c>
      <c r="B41" s="22" t="n">
        <v>0</v>
      </c>
      <c r="C41" s="22" t="n">
        <v>0</v>
      </c>
      <c r="D41" s="22" t="n">
        <v>1</v>
      </c>
      <c r="E41" s="22" t="n">
        <v>1</v>
      </c>
      <c r="F41" s="22" t="n">
        <v>1</v>
      </c>
      <c r="G41" s="22" t="n">
        <f aca="false">SUM(B41:F41)</f>
        <v>3</v>
      </c>
      <c r="H41" s="26" t="n">
        <f aca="false">IF(B41=1,$D$5,1-$D$5)*IF(C41=1,$D$6,1-$D$6)*IF(D41=1,$D$7,1-$D$7)*IF(E41=1,$D$8,1-$D$8)*IF(F41=1,$D$9,1-$D$9)</f>
        <v>0.000545440163380363</v>
      </c>
    </row>
    <row r="42" customFormat="false" ht="15" hidden="false" customHeight="false" outlineLevel="0" collapsed="false">
      <c r="A42" s="22" t="n">
        <v>29</v>
      </c>
      <c r="B42" s="22" t="n">
        <v>1</v>
      </c>
      <c r="C42" s="22" t="n">
        <v>0</v>
      </c>
      <c r="D42" s="22" t="n">
        <v>1</v>
      </c>
      <c r="E42" s="22" t="n">
        <v>1</v>
      </c>
      <c r="F42" s="22" t="n">
        <v>1</v>
      </c>
      <c r="G42" s="22" t="n">
        <f aca="false">SUM(B42:F42)</f>
        <v>4</v>
      </c>
      <c r="H42" s="26" t="n">
        <f aca="false">IF(B42=1,$D$5,1-$D$5)*IF(C42=1,$D$6,1-$D$6)*IF(D42=1,$D$7,1-$D$7)*IF(E42=1,$D$8,1-$D$8)*IF(F42=1,$D$9,1-$D$9)</f>
        <v>3.99102558570997E-005</v>
      </c>
    </row>
    <row r="43" customFormat="false" ht="15" hidden="false" customHeight="false" outlineLevel="0" collapsed="false">
      <c r="A43" s="22" t="n">
        <v>30</v>
      </c>
      <c r="B43" s="22" t="n">
        <v>0</v>
      </c>
      <c r="C43" s="22" t="n">
        <v>1</v>
      </c>
      <c r="D43" s="22" t="n">
        <v>1</v>
      </c>
      <c r="E43" s="22" t="n">
        <v>1</v>
      </c>
      <c r="F43" s="22" t="n">
        <v>1</v>
      </c>
      <c r="G43" s="22" t="n">
        <f aca="false">SUM(B43:F43)</f>
        <v>4</v>
      </c>
      <c r="H43" s="26" t="n">
        <f aca="false">IF(B43=1,$D$5,1-$D$5)*IF(C43=1,$D$6,1-$D$6)*IF(D43=1,$D$7,1-$D$7)*IF(E43=1,$D$8,1-$D$8)*IF(F43=1,$D$9,1-$D$9)</f>
        <v>8.84497562238426E-005</v>
      </c>
    </row>
    <row r="44" customFormat="false" ht="15" hidden="false" customHeight="false" outlineLevel="0" collapsed="false">
      <c r="A44" s="22" t="n">
        <v>31</v>
      </c>
      <c r="B44" s="22" t="n">
        <v>1</v>
      </c>
      <c r="C44" s="22" t="n">
        <v>1</v>
      </c>
      <c r="D44" s="22" t="n">
        <v>1</v>
      </c>
      <c r="E44" s="22" t="n">
        <v>1</v>
      </c>
      <c r="F44" s="22" t="n">
        <v>1</v>
      </c>
      <c r="G44" s="22" t="n">
        <f aca="false">SUM(B44:F44)</f>
        <v>5</v>
      </c>
      <c r="H44" s="26" t="n">
        <f aca="false">IF(B44=1,$D$5,1-$D$5)*IF(C44=1,$D$6,1-$D$6)*IF(D44=1,$D$7,1-$D$7)*IF(E44=1,$D$8,1-$D$8)*IF(F44=1,$D$9,1-$D$9)</f>
        <v>6.47193338223238E-006</v>
      </c>
    </row>
    <row r="46" customFormat="false" ht="15" hidden="false" customHeight="false" outlineLevel="0" collapsed="false">
      <c r="A46" s="4" t="s">
        <v>208</v>
      </c>
    </row>
    <row r="47" customFormat="false" ht="23.85" hidden="false" customHeight="false" outlineLevel="0" collapsed="false">
      <c r="A47" s="5" t="s">
        <v>206</v>
      </c>
      <c r="B47" s="5" t="s">
        <v>207</v>
      </c>
      <c r="C47" s="5" t="s">
        <v>209</v>
      </c>
      <c r="D47" s="5" t="s">
        <v>210</v>
      </c>
      <c r="E47" s="5" t="s">
        <v>211</v>
      </c>
    </row>
    <row r="48" customFormat="false" ht="15" hidden="false" customHeight="false" outlineLevel="0" collapsed="false">
      <c r="A48" s="22" t="n">
        <v>0</v>
      </c>
      <c r="B48" s="26" t="n">
        <f aca="false">SUMIF($G$13:$G$44,A48,$H$13:$H$44)</f>
        <v>0.599166019473329</v>
      </c>
      <c r="C48" s="27" t="n">
        <f aca="false">IF(A48=0,0,INDEX(Paytable!$B$15:$F$15,A48))</f>
        <v>0</v>
      </c>
      <c r="D48" s="26" t="n">
        <f aca="false">B48*C48</f>
        <v>0</v>
      </c>
      <c r="E48" s="33" t="n">
        <f aca="false">IF(B48&gt;0,1/B48,"-")</f>
        <v>1.66898650373899</v>
      </c>
    </row>
    <row r="49" customFormat="false" ht="15" hidden="false" customHeight="false" outlineLevel="0" collapsed="false">
      <c r="A49" s="22" t="n">
        <v>1</v>
      </c>
      <c r="B49" s="26" t="n">
        <f aca="false">SUMIF($G$13:$G$44,A49,$H$13:$H$44)</f>
        <v>0.325362248493478</v>
      </c>
      <c r="C49" s="27" t="n">
        <f aca="false">IF(A49=0,0,INDEX(Paytable!$B$15:$F$15,A49))</f>
        <v>0</v>
      </c>
      <c r="D49" s="26" t="n">
        <f aca="false">B49*C49</f>
        <v>0</v>
      </c>
      <c r="E49" s="33" t="n">
        <f aca="false">IF(B49&gt;0,1/B49,"-")</f>
        <v>3.07349732376848</v>
      </c>
    </row>
    <row r="50" customFormat="false" ht="15" hidden="false" customHeight="false" outlineLevel="0" collapsed="false">
      <c r="A50" s="22" t="n">
        <v>2</v>
      </c>
      <c r="B50" s="26" t="n">
        <f aca="false">SUMIF($G$13:$G$44,A50,$H$13:$H$44)</f>
        <v>0.0682219082136026</v>
      </c>
      <c r="C50" s="27" t="n">
        <f aca="false">IF(A50=0,0,INDEX(Paytable!$B$15:$F$15,A50))</f>
        <v>0</v>
      </c>
      <c r="D50" s="26" t="n">
        <f aca="false">B50*C50</f>
        <v>0</v>
      </c>
      <c r="E50" s="33" t="n">
        <f aca="false">IF(B50&gt;0,1/B50,"-")</f>
        <v>14.6580479230954</v>
      </c>
    </row>
    <row r="51" customFormat="false" ht="15" hidden="false" customHeight="false" outlineLevel="0" collapsed="false">
      <c r="A51" s="22" t="n">
        <v>3</v>
      </c>
      <c r="B51" s="26" t="n">
        <f aca="false">SUMIF($G$13:$G$44,A51,$H$13:$H$44)</f>
        <v>0.00690465403920553</v>
      </c>
      <c r="C51" s="27" t="n">
        <f aca="false">IF(A51=0,0,INDEX(Paytable!$B$15:$F$15,A51))</f>
        <v>2</v>
      </c>
      <c r="D51" s="26" t="n">
        <f aca="false">B51*C51</f>
        <v>0.0138093080784111</v>
      </c>
      <c r="E51" s="33" t="n">
        <f aca="false">IF(B51&gt;0,1/B51,"-")</f>
        <v>144.829848725493</v>
      </c>
    </row>
    <row r="52" customFormat="false" ht="15" hidden="false" customHeight="false" outlineLevel="0" collapsed="false">
      <c r="A52" s="22" t="n">
        <v>4</v>
      </c>
      <c r="B52" s="26" t="n">
        <f aca="false">SUMIF($G$13:$G$44,A52,$H$13:$H$44)</f>
        <v>0.000338697847003495</v>
      </c>
      <c r="C52" s="27" t="n">
        <f aca="false">IF(A52=0,0,INDEX(Paytable!$B$15:$F$15,A52))</f>
        <v>10</v>
      </c>
      <c r="D52" s="26" t="n">
        <f aca="false">B52*C52</f>
        <v>0.00338697847003495</v>
      </c>
      <c r="E52" s="33" t="n">
        <f aca="false">IF(B52&gt;0,1/B52,"-")</f>
        <v>2952.48407643312</v>
      </c>
    </row>
    <row r="53" customFormat="false" ht="15" hidden="false" customHeight="false" outlineLevel="0" collapsed="false">
      <c r="A53" s="22" t="n">
        <v>5</v>
      </c>
      <c r="B53" s="26" t="n">
        <f aca="false">SUMIF($G$13:$G$44,A53,$H$13:$H$44)</f>
        <v>6.47193338223238E-006</v>
      </c>
      <c r="C53" s="27" t="n">
        <f aca="false">IF(A53=0,0,INDEX(Paytable!$B$15:$F$15,A53))</f>
        <v>50</v>
      </c>
      <c r="D53" s="26" t="n">
        <f aca="false">B53*C53</f>
        <v>0.000323596669111619</v>
      </c>
      <c r="E53" s="33" t="n">
        <f aca="false">IF(B53&gt;0,1/B53,"-")</f>
        <v>154513.333333333</v>
      </c>
    </row>
    <row r="54" customFormat="false" ht="15" hidden="false" customHeight="false" outlineLevel="0" collapsed="false">
      <c r="A54" s="19" t="s">
        <v>169</v>
      </c>
      <c r="B54" s="34" t="n">
        <f aca="false">SUM(B48:B53)</f>
        <v>1</v>
      </c>
      <c r="C54" s="30"/>
      <c r="D54" s="31" t="n">
        <f aca="false">SUM(D48:D53)</f>
        <v>0.0175198832175576</v>
      </c>
      <c r="E54" s="35" t="s">
        <v>212</v>
      </c>
    </row>
    <row r="56" customFormat="false" ht="23.85" hidden="false" customHeight="false" outlineLevel="0" collapsed="false">
      <c r="A56" s="10" t="s">
        <v>213</v>
      </c>
      <c r="B56" s="32" t="n">
        <f aca="false">SUMIF(A48:A53,"&gt;="&amp;'Base Parameters'!$B$12,B48:B53)</f>
        <v>0.00724982381959126</v>
      </c>
    </row>
    <row r="57" customFormat="false" ht="15" hidden="false" customHeight="false" outlineLevel="0" collapsed="false">
      <c r="A57" s="10" t="s">
        <v>214</v>
      </c>
      <c r="B57" s="33" t="n">
        <f aca="false">1/B56</f>
        <v>137.934386391252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215</v>
      </c>
    </row>
    <row r="2" customFormat="false" ht="15" hidden="false" customHeight="false" outlineLevel="0" collapsed="false">
      <c r="A2" s="9" t="s">
        <v>216</v>
      </c>
    </row>
    <row r="3" customFormat="false" ht="15" hidden="false" customHeight="false" outlineLevel="0" collapsed="false">
      <c r="A3" s="5" t="s">
        <v>58</v>
      </c>
      <c r="B3" s="5" t="s">
        <v>92</v>
      </c>
      <c r="C3" s="5" t="s">
        <v>217</v>
      </c>
    </row>
    <row r="4" customFormat="false" ht="15" hidden="false" customHeight="false" outlineLevel="0" collapsed="false">
      <c r="A4" s="10" t="s">
        <v>218</v>
      </c>
      <c r="B4" s="32" t="n">
        <f aca="false">'Scatter Calc'!B56</f>
        <v>0.00724982381959126</v>
      </c>
      <c r="C4" s="3" t="s">
        <v>219</v>
      </c>
    </row>
    <row r="5" customFormat="false" ht="15" hidden="false" customHeight="false" outlineLevel="0" collapsed="false">
      <c r="A5" s="10" t="s">
        <v>220</v>
      </c>
      <c r="B5" s="27" t="n">
        <f aca="false">'Base Parameters'!$B$9</f>
        <v>10</v>
      </c>
      <c r="C5" s="3" t="s">
        <v>18</v>
      </c>
    </row>
    <row r="6" customFormat="false" ht="15" hidden="false" customHeight="false" outlineLevel="0" collapsed="false">
      <c r="A6" s="10" t="s">
        <v>221</v>
      </c>
      <c r="B6" s="27" t="n">
        <f aca="false">'Base Parameters'!$B$10</f>
        <v>10</v>
      </c>
      <c r="C6" s="3" t="s">
        <v>18</v>
      </c>
    </row>
    <row r="7" customFormat="false" ht="15" hidden="false" customHeight="false" outlineLevel="0" collapsed="false">
      <c r="A7" s="10" t="s">
        <v>222</v>
      </c>
      <c r="B7" s="27" t="n">
        <f aca="false">'Base Parameters'!$B$11</f>
        <v>3</v>
      </c>
      <c r="C7" s="3" t="s">
        <v>18</v>
      </c>
    </row>
    <row r="8" customFormat="false" ht="15" hidden="false" customHeight="false" outlineLevel="0" collapsed="false">
      <c r="A8" s="10" t="s">
        <v>223</v>
      </c>
      <c r="B8" s="36" t="n">
        <f aca="false">B6*B4</f>
        <v>0.0724982381959126</v>
      </c>
      <c r="C8" s="3" t="s">
        <v>224</v>
      </c>
    </row>
    <row r="9" customFormat="false" ht="15" hidden="false" customHeight="false" outlineLevel="0" collapsed="false">
      <c r="A9" s="10" t="s">
        <v>225</v>
      </c>
      <c r="B9" s="37" t="n">
        <f aca="false">IF(B8&lt;1,B5/(1-B8),"Diverges")</f>
        <v>10.7816506790768</v>
      </c>
      <c r="C9" s="3" t="s">
        <v>226</v>
      </c>
    </row>
    <row r="10" customFormat="false" ht="15" hidden="false" customHeight="false" outlineLevel="0" collapsed="false">
      <c r="A10" s="10" t="s">
        <v>227</v>
      </c>
      <c r="B10" s="11" t="n">
        <f aca="false">'Line Calc'!AA15+'Scatter Calc'!D54</f>
        <v>0.777478803752336</v>
      </c>
      <c r="C10" s="3" t="s">
        <v>228</v>
      </c>
    </row>
    <row r="11" customFormat="false" ht="15" hidden="false" customHeight="false" outlineLevel="0" collapsed="false">
      <c r="A11" s="10" t="s">
        <v>229</v>
      </c>
      <c r="B11" s="36" t="n">
        <f aca="false">B10*B7</f>
        <v>2.33243641125701</v>
      </c>
      <c r="C11" s="3" t="s">
        <v>230</v>
      </c>
    </row>
    <row r="12" customFormat="false" ht="15" hidden="false" customHeight="false" outlineLevel="0" collapsed="false">
      <c r="A12" s="10" t="s">
        <v>231</v>
      </c>
      <c r="B12" s="38" t="n">
        <f aca="false">B9*B11</f>
        <v>25.1475146173327</v>
      </c>
      <c r="C12" s="3" t="s">
        <v>232</v>
      </c>
    </row>
    <row r="13" customFormat="false" ht="15" hidden="false" customHeight="false" outlineLevel="0" collapsed="false">
      <c r="A13" s="10" t="s">
        <v>233</v>
      </c>
      <c r="B13" s="29" t="n">
        <f aca="false">B4*B12</f>
        <v>0.182315050476258</v>
      </c>
      <c r="C13" s="3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36</v>
      </c>
    </row>
    <row r="4" customFormat="false" ht="15" hidden="false" customHeight="false" outlineLevel="0" collapsed="false">
      <c r="A4" s="5" t="s">
        <v>235</v>
      </c>
      <c r="B4" s="5" t="s">
        <v>236</v>
      </c>
      <c r="C4" s="5" t="s">
        <v>237</v>
      </c>
      <c r="D4" s="5" t="s">
        <v>238</v>
      </c>
    </row>
    <row r="5" customFormat="false" ht="15" hidden="false" customHeight="false" outlineLevel="0" collapsed="false">
      <c r="A5" s="10" t="s">
        <v>239</v>
      </c>
      <c r="B5" s="11" t="n">
        <f aca="false">'Line Calc'!AA15</f>
        <v>0.759958920534779</v>
      </c>
      <c r="C5" s="39" t="n">
        <f aca="false">B5/$B$9</f>
        <v>0.791793901561886</v>
      </c>
      <c r="D5" s="3" t="s">
        <v>30</v>
      </c>
    </row>
    <row r="6" customFormat="false" ht="15" hidden="false" customHeight="false" outlineLevel="0" collapsed="false">
      <c r="A6" s="10" t="s">
        <v>240</v>
      </c>
      <c r="B6" s="11" t="n">
        <f aca="false">'Scatter Calc'!D54</f>
        <v>0.0175198832175576</v>
      </c>
      <c r="C6" s="39" t="n">
        <f aca="false">B6/$B$9</f>
        <v>0.0182537980842133</v>
      </c>
      <c r="D6" s="3" t="s">
        <v>32</v>
      </c>
    </row>
    <row r="7" customFormat="false" ht="15" hidden="false" customHeight="false" outlineLevel="0" collapsed="false">
      <c r="A7" s="19" t="s">
        <v>241</v>
      </c>
      <c r="B7" s="31" t="n">
        <f aca="false">B5+B6</f>
        <v>0.777478803752336</v>
      </c>
      <c r="C7" s="40" t="n">
        <f aca="false">B7/$B$9</f>
        <v>0.8100476996461</v>
      </c>
      <c r="D7" s="41"/>
    </row>
    <row r="8" customFormat="false" ht="15" hidden="false" customHeight="false" outlineLevel="0" collapsed="false">
      <c r="A8" s="10" t="s">
        <v>87</v>
      </c>
      <c r="B8" s="11" t="n">
        <f aca="false">'Free Spin Calc'!B13</f>
        <v>0.182315050476258</v>
      </c>
      <c r="C8" s="39" t="n">
        <f aca="false">B8/$B$9</f>
        <v>0.189952300353901</v>
      </c>
      <c r="D8" s="3" t="s">
        <v>34</v>
      </c>
    </row>
    <row r="9" customFormat="false" ht="15" hidden="false" customHeight="false" outlineLevel="0" collapsed="false">
      <c r="A9" s="19" t="s">
        <v>62</v>
      </c>
      <c r="B9" s="31" t="n">
        <f aca="false">B7+B8</f>
        <v>0.959793854228594</v>
      </c>
      <c r="C9" s="40" t="n">
        <f aca="false">B9/$B$9</f>
        <v>1</v>
      </c>
      <c r="D9" s="41"/>
    </row>
    <row r="11" customFormat="false" ht="15" hidden="false" customHeight="false" outlineLevel="0" collapsed="false">
      <c r="A11" s="10" t="s">
        <v>109</v>
      </c>
      <c r="B11" s="14" t="n">
        <f aca="false">'Base Parameters'!$B$13</f>
        <v>0.96</v>
      </c>
    </row>
    <row r="12" customFormat="false" ht="15" hidden="false" customHeight="false" outlineLevel="0" collapsed="false">
      <c r="A12" s="10" t="s">
        <v>242</v>
      </c>
      <c r="B12" s="29" t="n">
        <f aca="false">B9-B11</f>
        <v>-0.000206145771405986</v>
      </c>
    </row>
    <row r="13" customFormat="false" ht="15" hidden="false" customHeight="false" outlineLevel="0" collapsed="false">
      <c r="A13" s="10" t="s">
        <v>243</v>
      </c>
      <c r="B13" s="22" t="str">
        <f aca="false">IF(ABS(B12)&lt;=0.001,"OK","Needs tuning")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10" min="7" style="0" width="16"/>
  </cols>
  <sheetData>
    <row r="1" customFormat="false" ht="19.7" hidden="false" customHeight="false" outlineLevel="0" collapsed="false">
      <c r="A1" s="1" t="s">
        <v>244</v>
      </c>
    </row>
    <row r="2" customFormat="false" ht="15" hidden="false" customHeight="false" outlineLevel="0" collapsed="false">
      <c r="A2" s="9" t="s">
        <v>245</v>
      </c>
    </row>
    <row r="4" customFormat="false" ht="15" hidden="false" customHeight="false" outlineLevel="0" collapsed="false">
      <c r="A4" s="5" t="s">
        <v>246</v>
      </c>
      <c r="B4" s="5" t="s">
        <v>92</v>
      </c>
      <c r="D4" s="5" t="s">
        <v>247</v>
      </c>
      <c r="E4" s="5" t="s">
        <v>92</v>
      </c>
    </row>
    <row r="5" customFormat="false" ht="15" hidden="false" customHeight="false" outlineLevel="0" collapsed="false">
      <c r="A5" s="10" t="s">
        <v>248</v>
      </c>
      <c r="B5" s="42" t="n">
        <v>100000000</v>
      </c>
      <c r="D5" s="10" t="s">
        <v>249</v>
      </c>
      <c r="E5" s="42" t="n">
        <v>150186960</v>
      </c>
    </row>
    <row r="6" customFormat="false" ht="15" hidden="false" customHeight="false" outlineLevel="0" collapsed="false">
      <c r="A6" s="10" t="s">
        <v>62</v>
      </c>
      <c r="B6" s="43" t="n">
        <v>0.960202916</v>
      </c>
      <c r="D6" s="10" t="s">
        <v>250</v>
      </c>
      <c r="E6" s="44" t="n">
        <v>0.777478803752337</v>
      </c>
    </row>
    <row r="7" customFormat="false" ht="15" hidden="false" customHeight="false" outlineLevel="0" collapsed="false">
      <c r="A7" s="10" t="s">
        <v>251</v>
      </c>
      <c r="B7" s="43" t="n">
        <v>0.000636460853912365</v>
      </c>
      <c r="D7" s="10" t="s">
        <v>252</v>
      </c>
      <c r="E7" s="43" t="n">
        <v>0.538446759958388</v>
      </c>
    </row>
    <row r="8" customFormat="false" ht="15" hidden="false" customHeight="false" outlineLevel="0" collapsed="false">
      <c r="A8" s="10" t="s">
        <v>253</v>
      </c>
      <c r="B8" s="43" t="n">
        <v>0.7777993715</v>
      </c>
      <c r="D8" s="10" t="s">
        <v>254</v>
      </c>
      <c r="E8" s="45" t="n">
        <v>76</v>
      </c>
    </row>
    <row r="9" customFormat="false" ht="15" hidden="false" customHeight="false" outlineLevel="0" collapsed="false">
      <c r="A9" s="10" t="s">
        <v>255</v>
      </c>
      <c r="B9" s="43" t="n">
        <v>0.1824035445</v>
      </c>
      <c r="D9" s="10" t="s">
        <v>256</v>
      </c>
      <c r="E9" s="46" t="n">
        <v>0.00724982381959126</v>
      </c>
    </row>
    <row r="10" customFormat="false" ht="15" hidden="false" customHeight="false" outlineLevel="0" collapsed="false">
      <c r="A10" s="10" t="s">
        <v>257</v>
      </c>
      <c r="B10" s="43" t="n">
        <v>0.53846567</v>
      </c>
    </row>
    <row r="11" customFormat="false" ht="15" hidden="false" customHeight="false" outlineLevel="0" collapsed="false">
      <c r="A11" s="10" t="s">
        <v>258</v>
      </c>
      <c r="B11" s="47" t="n">
        <v>0.00725356</v>
      </c>
      <c r="D11" s="5" t="s">
        <v>259</v>
      </c>
      <c r="E11" s="5" t="s">
        <v>92</v>
      </c>
    </row>
    <row r="12" customFormat="false" ht="15" hidden="false" customHeight="false" outlineLevel="0" collapsed="false">
      <c r="A12" s="10" t="s">
        <v>260</v>
      </c>
      <c r="B12" s="48" t="n">
        <v>10.7760603069389</v>
      </c>
      <c r="D12" s="10" t="s">
        <v>62</v>
      </c>
      <c r="E12" s="46" t="n">
        <v>0.959793854228594</v>
      </c>
    </row>
    <row r="13" customFormat="false" ht="15" hidden="false" customHeight="false" outlineLevel="0" collapsed="false">
      <c r="A13" s="10" t="s">
        <v>261</v>
      </c>
      <c r="B13" s="45" t="n">
        <v>25.1467616591026</v>
      </c>
      <c r="D13" s="10" t="s">
        <v>253</v>
      </c>
      <c r="E13" s="46" t="n">
        <v>0.777478803752336</v>
      </c>
    </row>
    <row r="14" customFormat="false" ht="15" hidden="false" customHeight="false" outlineLevel="0" collapsed="false">
      <c r="A14" s="10" t="s">
        <v>262</v>
      </c>
      <c r="B14" s="48" t="n">
        <v>3.24724925465493</v>
      </c>
      <c r="D14" s="10" t="s">
        <v>213</v>
      </c>
      <c r="E14" s="46" t="n">
        <v>0.00724982381959126</v>
      </c>
    </row>
    <row r="15" customFormat="false" ht="15" hidden="false" customHeight="false" outlineLevel="0" collapsed="false">
      <c r="A15" s="10" t="s">
        <v>263</v>
      </c>
      <c r="B15" s="45" t="n">
        <v>333.05</v>
      </c>
    </row>
    <row r="16" customFormat="false" ht="15" hidden="false" customHeight="false" outlineLevel="0" collapsed="false">
      <c r="A16" s="10" t="s">
        <v>264</v>
      </c>
      <c r="B16" s="8" t="s">
        <v>265</v>
      </c>
    </row>
    <row r="18" customFormat="false" ht="15" hidden="false" customHeight="false" outlineLevel="0" collapsed="false">
      <c r="A18" s="4" t="s">
        <v>266</v>
      </c>
    </row>
    <row r="19" customFormat="false" ht="23.85" hidden="false" customHeight="false" outlineLevel="0" collapsed="false">
      <c r="A19" s="5" t="s">
        <v>267</v>
      </c>
      <c r="B19" s="5" t="s">
        <v>268</v>
      </c>
      <c r="C19" s="5"/>
      <c r="D19" s="5" t="s">
        <v>269</v>
      </c>
      <c r="E19" s="5" t="s">
        <v>270</v>
      </c>
    </row>
    <row r="20" customFormat="false" ht="15" hidden="false" customHeight="false" outlineLevel="0" collapsed="false">
      <c r="A20" s="3" t="s">
        <v>271</v>
      </c>
      <c r="B20" s="43" t="n">
        <v>0.46153433</v>
      </c>
      <c r="D20" s="33" t="n">
        <f aca="false">IF(B20&gt;0,1/B20,"-")</f>
        <v>2.16668606211807</v>
      </c>
      <c r="E20" s="43" t="n">
        <v>0.461553240041612</v>
      </c>
    </row>
    <row r="21" customFormat="false" ht="15" hidden="false" customHeight="false" outlineLevel="0" collapsed="false">
      <c r="A21" s="3" t="s">
        <v>272</v>
      </c>
      <c r="B21" s="43" t="n">
        <v>0.29158226</v>
      </c>
      <c r="D21" s="33" t="n">
        <f aca="false">IF(B21&gt;0,1/B21,"-")</f>
        <v>3.42956392477375</v>
      </c>
      <c r="E21" s="43" t="n">
        <v>0.291618273650389</v>
      </c>
    </row>
    <row r="22" customFormat="false" ht="15" hidden="false" customHeight="false" outlineLevel="0" collapsed="false">
      <c r="A22" s="3" t="s">
        <v>273</v>
      </c>
      <c r="B22" s="43" t="n">
        <v>0.12668461</v>
      </c>
      <c r="D22" s="33" t="n">
        <f aca="false">IF(B22&gt;0,1/B22,"-")</f>
        <v>7.89361864870563</v>
      </c>
      <c r="E22" s="43" t="n">
        <v>0.126670231556721</v>
      </c>
    </row>
    <row r="23" customFormat="false" ht="15" hidden="false" customHeight="false" outlineLevel="0" collapsed="false">
      <c r="A23" s="3" t="s">
        <v>274</v>
      </c>
      <c r="B23" s="43" t="n">
        <v>0.0859521</v>
      </c>
      <c r="D23" s="33" t="n">
        <f aca="false">IF(B23&gt;0,1/B23,"-")</f>
        <v>11.6343870597693</v>
      </c>
      <c r="E23" s="43" t="n">
        <v>0.0926379094430036</v>
      </c>
    </row>
    <row r="24" customFormat="false" ht="15" hidden="false" customHeight="false" outlineLevel="0" collapsed="false">
      <c r="A24" s="3" t="s">
        <v>275</v>
      </c>
      <c r="B24" s="43" t="n">
        <v>0.02248187</v>
      </c>
      <c r="D24" s="33" t="n">
        <f aca="false">IF(B24&gt;0,1/B24,"-")</f>
        <v>44.4802856701867</v>
      </c>
      <c r="E24" s="43" t="n">
        <v>0.0220647385099212</v>
      </c>
    </row>
    <row r="25" customFormat="false" ht="15" hidden="false" customHeight="false" outlineLevel="0" collapsed="false">
      <c r="A25" s="3" t="s">
        <v>276</v>
      </c>
      <c r="B25" s="43" t="n">
        <v>0.00665762</v>
      </c>
      <c r="D25" s="33" t="n">
        <f aca="false">IF(B25&gt;0,1/B25,"-")</f>
        <v>150.203826592686</v>
      </c>
      <c r="E25" s="43" t="n">
        <v>0.00474546525210977</v>
      </c>
    </row>
    <row r="26" customFormat="false" ht="15" hidden="false" customHeight="false" outlineLevel="0" collapsed="false">
      <c r="A26" s="3" t="s">
        <v>277</v>
      </c>
      <c r="B26" s="43" t="n">
        <v>0.00427281</v>
      </c>
      <c r="D26" s="33" t="n">
        <f aca="false">IF(B26&gt;0,1/B26,"-")</f>
        <v>234.038021817024</v>
      </c>
      <c r="E26" s="43" t="n">
        <v>0.000596023782624004</v>
      </c>
    </row>
    <row r="27" customFormat="false" ht="15" hidden="false" customHeight="false" outlineLevel="0" collapsed="false">
      <c r="A27" s="3" t="s">
        <v>278</v>
      </c>
      <c r="B27" s="43" t="n">
        <v>0.00077494</v>
      </c>
      <c r="D27" s="33" t="n">
        <f aca="false">IF(B27&gt;0,1/B27,"-")</f>
        <v>1290.42248432137</v>
      </c>
      <c r="E27" s="43" t="n">
        <v>0.000114117763619425</v>
      </c>
    </row>
    <row r="28" customFormat="false" ht="15" hidden="false" customHeight="false" outlineLevel="0" collapsed="false">
      <c r="A28" s="3" t="s">
        <v>279</v>
      </c>
      <c r="B28" s="43" t="n">
        <v>5.946E-005</v>
      </c>
      <c r="D28" s="33" t="n">
        <f aca="false">IF(B28&gt;0,1/B28,"-")</f>
        <v>16818.0289270098</v>
      </c>
      <c r="E28" s="43" t="n">
        <v>0</v>
      </c>
    </row>
    <row r="29" customFormat="false" ht="15" hidden="false" customHeight="false" outlineLevel="0" collapsed="false">
      <c r="A29" s="3" t="s">
        <v>280</v>
      </c>
      <c r="B29" s="43" t="n">
        <v>0</v>
      </c>
      <c r="D29" s="33" t="str">
        <f aca="false">IF(B29&gt;0,1/B29,"-")</f>
        <v>-</v>
      </c>
      <c r="E29" s="4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281</v>
      </c>
    </row>
    <row r="2" customFormat="false" ht="15" hidden="false" customHeight="false" outlineLevel="0" collapsed="false">
      <c r="A2" s="9" t="s">
        <v>282</v>
      </c>
    </row>
    <row r="4" customFormat="false" ht="15" hidden="false" customHeight="false" outlineLevel="0" collapsed="false">
      <c r="A4" s="5" t="s">
        <v>170</v>
      </c>
      <c r="B4" s="5" t="s">
        <v>283</v>
      </c>
      <c r="C4" s="5" t="s">
        <v>284</v>
      </c>
      <c r="D4" s="5" t="s">
        <v>285</v>
      </c>
      <c r="E4" s="5" t="s">
        <v>286</v>
      </c>
      <c r="F4" s="5" t="s">
        <v>287</v>
      </c>
    </row>
    <row r="5" customFormat="false" ht="23.85" hidden="false" customHeight="false" outlineLevel="0" collapsed="false">
      <c r="A5" s="10" t="s">
        <v>288</v>
      </c>
      <c r="B5" s="49" t="n">
        <f aca="false">'RTP Breakdown'!B7</f>
        <v>0.777478803752336</v>
      </c>
      <c r="C5" s="49" t="n">
        <f aca="false">'Simulation Results'!E6</f>
        <v>0.777478803752337</v>
      </c>
      <c r="D5" s="50" t="n">
        <f aca="false">B5-C5</f>
        <v>0</v>
      </c>
      <c r="E5" s="51" t="str">
        <f aca="false">IF(ABS(D5)&lt;0.000000001,"PASS","FAIL")</f>
        <v>PASS</v>
      </c>
      <c r="F5" s="3" t="s">
        <v>289</v>
      </c>
    </row>
    <row r="6" customFormat="false" ht="15" hidden="false" customHeight="false" outlineLevel="0" collapsed="false">
      <c r="A6" s="10" t="s">
        <v>290</v>
      </c>
      <c r="B6" s="52" t="n">
        <f aca="false">'Scatter Calc'!B56</f>
        <v>0.00724982381959126</v>
      </c>
      <c r="C6" s="52" t="n">
        <f aca="false">'Simulation Results'!E9</f>
        <v>0.00724982381959126</v>
      </c>
      <c r="D6" s="50" t="n">
        <f aca="false">B6-C6</f>
        <v>0</v>
      </c>
      <c r="E6" s="51" t="str">
        <f aca="false">IF(ABS(D6)&lt;0.000000000001,"PASS","FAIL")</f>
        <v>PASS</v>
      </c>
      <c r="F6" s="3" t="s">
        <v>291</v>
      </c>
    </row>
    <row r="7" customFormat="false" ht="15" hidden="false" customHeight="false" outlineLevel="0" collapsed="false">
      <c r="A7" s="10" t="s">
        <v>292</v>
      </c>
      <c r="B7" s="49" t="n">
        <f aca="false">'RTP Breakdown'!B9</f>
        <v>0.959793854228594</v>
      </c>
      <c r="C7" s="49" t="n">
        <f aca="false">'Simulation Results'!E12</f>
        <v>0.959793854228594</v>
      </c>
      <c r="D7" s="50" t="n">
        <f aca="false">B7-C7</f>
        <v>0</v>
      </c>
      <c r="E7" s="51" t="str">
        <f aca="false">IF(ABS(D7)&lt;0.000000001,"PASS","FAIL")</f>
        <v>PASS</v>
      </c>
      <c r="F7" s="3" t="s">
        <v>293</v>
      </c>
    </row>
    <row r="8" customFormat="false" ht="15" hidden="false" customHeight="false" outlineLevel="0" collapsed="false">
      <c r="A8" s="10" t="s">
        <v>294</v>
      </c>
      <c r="B8" s="11" t="n">
        <f aca="false">'RTP Breakdown'!B9</f>
        <v>0.959793854228594</v>
      </c>
      <c r="C8" s="11" t="n">
        <f aca="false">'Simulation Results'!B6</f>
        <v>0.960202916</v>
      </c>
      <c r="D8" s="38" t="n">
        <f aca="false">(C8-B8)/('Simulation Results'!B14/SQRT('Simulation Results'!B5))</f>
        <v>1.25971780829449</v>
      </c>
      <c r="E8" s="51" t="str">
        <f aca="false">IF(ABS(D8)&lt;4,"PASS","FAIL")</f>
        <v>PASS</v>
      </c>
      <c r="F8" s="3" t="s">
        <v>295</v>
      </c>
    </row>
    <row r="10" customFormat="false" ht="15" hidden="false" customHeight="false" outlineLevel="0" collapsed="false">
      <c r="A10" s="9" t="s">
        <v>296</v>
      </c>
    </row>
  </sheetData>
  <conditionalFormatting sqref="E5:E8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2026-09-23T12:11:03Z</dcterms:created>
  <dc:creator>openpyxl</dc:creator>
  <dc:description/>
  <dc:language>en-US</dc:language>
  <cp:lastModifiedBy/>
  <dcterms:modified xsi:type="dcterms:W3CDTF">2026-09-23T12:11:05Z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